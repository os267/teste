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enários" sheetId="2" state="visible" r:id="rId4"/>
    <sheet name="Premissas" sheetId="3" state="visible" r:id="rId5"/>
    <sheet name="Custos Unitários" sheetId="4" state="visible" r:id="rId6"/>
    <sheet name="Obra" sheetId="5" state="visible" r:id="rId7"/>
    <sheet name="Produt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100% da obra do jardim é rateada entre as posições. Premium ocupa 4 posições do mesmo jardim.</t>
        </r>
      </text>
    </comment>
    <comment ref="F6" authorId="0">
      <text>
        <r>
          <rPr>
            <sz val="10"/>
            <rFont val="Arial"/>
            <family val="2"/>
          </rPr>
          <t xml:space="preserve">Jardín 2 Ecológico divide a obra entre lotes ecológicos e aspersão (ver Premissas).</t>
        </r>
      </text>
    </comment>
    <comment ref="P5" authorId="0">
      <text>
        <r>
          <rPr>
            <sz val="10"/>
            <rFont val="Arial"/>
            <family val="2"/>
          </rPr>
          <t xml:space="preserve">Faixas do deck “Nuevos Productos y Servicios · VANGRUPO”: Jardín de Cenizas Standard $400–600, Premium $1.490–1.990, Aspersión $150–250. Assumido como preço final ao cliente (c/ IVA).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Curva 1: só o lado livre da vía (o outro é o bordillo existente da rua).</t>
        </r>
      </text>
    </comment>
    <comment ref="D9" authorId="0">
      <text>
        <r>
          <rPr>
            <sz val="10"/>
            <rFont val="Arial"/>
            <family val="2"/>
          </rPr>
          <t xml:space="preserve">Estimativa de 120 ml de degraus em troncos na encosta.</t>
        </r>
      </text>
    </comment>
    <comment ref="E7" authorId="0">
      <text>
        <r>
          <rPr>
            <sz val="10"/>
            <rFont val="Arial"/>
            <family val="2"/>
          </rPr>
          <t xml:space="preserve">Curva 1: só o lado livre da vía (o outro é o bordillo existente da rua).</t>
        </r>
      </text>
    </comment>
    <comment ref="F7" authorId="0">
      <text>
        <r>
          <rPr>
            <sz val="10"/>
            <rFont val="Arial"/>
            <family val="2"/>
          </rPr>
          <t xml:space="preserve">Curva 1: só o lado livre da vía (o outro é o bordillo existente da rua).</t>
        </r>
      </text>
    </comment>
    <comment ref="G7" authorId="0">
      <text>
        <r>
          <rPr>
            <sz val="10"/>
            <rFont val="Arial"/>
            <family val="2"/>
          </rPr>
          <t xml:space="preserve">Curva 1: só o lado livre da vía (o outro é o bordillo existente da rua).</t>
        </r>
      </text>
    </comment>
    <comment ref="G12" authorId="0">
      <text>
        <r>
          <rPr>
            <sz val="10"/>
            <rFont val="Arial"/>
            <family val="2"/>
          </rPr>
          <t xml:space="preserve">~100 orquídeas nas árvores existentes.</t>
        </r>
      </text>
    </comment>
    <comment ref="H7" authorId="0">
      <text>
        <r>
          <rPr>
            <sz val="10"/>
            <rFont val="Arial"/>
            <family val="2"/>
          </rPr>
          <t xml:space="preserve">Curva 1: só o lado livre da vía (o outro é o bordillo existente da rua).</t>
        </r>
      </text>
    </comment>
    <comment ref="H18" authorId="0">
      <text>
        <r>
          <rPr>
            <sz val="10"/>
            <rFont val="Arial"/>
            <family val="2"/>
          </rPr>
          <t xml:space="preserve">~40 ml de barreira em frente ao crematório.</t>
        </r>
      </text>
    </comment>
  </commentList>
</comments>
</file>

<file path=xl/sharedStrings.xml><?xml version="1.0" encoding="utf-8"?>
<sst xmlns="http://schemas.openxmlformats.org/spreadsheetml/2006/main" count="382" uniqueCount="241">
  <si>
    <t xml:space="preserve">Jardines de Cenizas — Estimativa de custos dos novos produtos</t>
  </si>
  <si>
    <t xml:space="preserve">Base: projeto paisagístico de Luana Magedanz (Canva “Jardines de Cenizas”, 2026) + portfólio “Nuevos Productos y Servicios · VANGRUPO”.</t>
  </si>
  <si>
    <t xml:space="preserve">Moeda: USD. Custos de compra estimados para El Salvador (mercado dolarizado), com IVA 13% embutido, valores de referência out/2026.</t>
  </si>
  <si>
    <t xml:space="preserve">DOIS CENÁRIOS (aba Cenários)</t>
  </si>
  <si>
    <t xml:space="preserve">• Cenário B — Só produto: custo direto de cada unidade vendida (cova, urna, contenedor, placa, instalação, cerimônia).</t>
  </si>
  <si>
    <t xml:space="preserve">• Cenário A — Produto + obra: custo direto + rateio do investimento de obra do jardim (caminho, nivelamento, bordillo, paisagismo, água, bancos…).</t>
  </si>
  <si>
    <t xml:space="preserve">   Rateio = Obra do jardim × % alocada ao produto ÷ unidades de rateio × posições que a unidade ocupa.</t>
  </si>
  <si>
    <t xml:space="preserve">   Unidades de rateio = capacidade do jardim × % da capacidade usada para amortizar (premissa — padrão 70%, ou seja, a obra se paga antes de lotar).</t>
  </si>
  <si>
    <t xml:space="preserve">COMO EDITAR</t>
  </si>
  <si>
    <t xml:space="preserve">• Texto AZUL = premissa/entrada editável. Fundo AMARELO = premissa-chave que deve ser validada com a VANGRUPO / fornecedores locais.</t>
  </si>
  <si>
    <t xml:space="preserve">• Texto PRETO = fórmula (não editar). Texto VERDE = vínculo com outra aba.</t>
  </si>
  <si>
    <t xml:space="preserve">• Ordem sugerida: 1) Premissas (áreas, comprimentos de caminho, capacidade de cada jardim)  2) Custos Unitários (cotações reais)  3) conferir Cenários.</t>
  </si>
  <si>
    <t xml:space="preserve">PONTOS DE ATENÇÃO</t>
  </si>
  <si>
    <t xml:space="preserve">• Áreas, comprimento de caminhos e capacidade de lotes NÃO constam no Canva — são estimativas a substituir pela planta/levantamento topográfico.</t>
  </si>
  <si>
    <t xml:space="preserve">• Custos unitários são referências de mercado (ex.: gravilla ≈ US$51/m³ em El Salvador, jul/2026); confirmar com 2–3 cotações locais.</t>
  </si>
  <si>
    <t xml:space="preserve">• Não incluídos: honorários do projeto de arquitetura, licenças municipais/ambientais, iluminação, custo do terreno e urna do cliente nos produtos com contenedor.</t>
  </si>
  <si>
    <t xml:space="preserve">• A urna biodegradável ESTÁ incluída nos produtos ecológicos (é parte do conceito). Nos produtos com contenedor/cilindro, a urna é trazida pelo cliente.</t>
  </si>
  <si>
    <t xml:space="preserve">• Preço sugerido = custo ÷ (1 − comissão − fundo de manutenção − adm/marketing − margem alvo), depois + IVA. Percentuais editáveis em Premissas.</t>
  </si>
  <si>
    <t xml:space="preserve">Cenários de custo e parâmetro de preço por produto</t>
  </si>
  <si>
    <t xml:space="preserve">Cenário B = só produto | Cenário A = produto + rateio da obra. Preço sugerido = custo ÷ (1 − comissão − fundo manutenção − adm/mkt − margem alvo); valores com IVA para comparação com o deck VANGRUPO.</t>
  </si>
  <si>
    <t xml:space="preserve">Produto</t>
  </si>
  <si>
    <t xml:space="preserve">Jardim</t>
  </si>
  <si>
    <t xml:space="preserve">Linha (deck)</t>
  </si>
  <si>
    <t xml:space="preserve">Custo direto
Cenário B</t>
  </si>
  <si>
    <t xml:space="preserve">Obra do jardim</t>
  </si>
  <si>
    <t xml:space="preserve">% obra alocada</t>
  </si>
  <si>
    <t xml:space="preserve">Base de rateio (un.)</t>
  </si>
  <si>
    <t xml:space="preserve">Posições por unidade</t>
  </si>
  <si>
    <t xml:space="preserve">Rateio obra / unidade</t>
  </si>
  <si>
    <t xml:space="preserve">Custo total
Cenário A</t>
  </si>
  <si>
    <t xml:space="preserve">Preço sugerido B (c/ IVA)</t>
  </si>
  <si>
    <t xml:space="preserve">Preço sugerido A (c/ IVA)</t>
  </si>
  <si>
    <t xml:space="preserve">Preço s/ IVA A</t>
  </si>
  <si>
    <t xml:space="preserve">Deck – preço mín.</t>
  </si>
  <si>
    <t xml:space="preserve">Deck – preço máx.</t>
  </si>
  <si>
    <t xml:space="preserve">Margem líquida A no preço mín. do deck</t>
  </si>
  <si>
    <t xml:space="preserve">Margem líquida A no preço máx. do deck</t>
  </si>
  <si>
    <t xml:space="preserve">Ecológico – placa de madeira</t>
  </si>
  <si>
    <t xml:space="preserve">Curva 1 – Subida (Ecológico)</t>
  </si>
  <si>
    <t xml:space="preserve">Standard</t>
  </si>
  <si>
    <t xml:space="preserve">Ecológico – placa em varilla</t>
  </si>
  <si>
    <t xml:space="preserve">Jardín 2 – Ecológico + Aspersión</t>
  </si>
  <si>
    <t xml:space="preserve">Bosque Orquídeas – placa mármore</t>
  </si>
  <si>
    <t xml:space="preserve">Jardín 2 – Bosque de las Orquídeas</t>
  </si>
  <si>
    <t xml:space="preserve">Urna c/ contenedor + tampa granito</t>
  </si>
  <si>
    <t xml:space="preserve">Jardín 1 – Urnas</t>
  </si>
  <si>
    <t xml:space="preserve">Ceremonial – cilindro concreto + mármore</t>
  </si>
  <si>
    <t xml:space="preserve">Jardín 3 – Ceremonial</t>
  </si>
  <si>
    <t xml:space="preserve">Premium familiar (4 posições)</t>
  </si>
  <si>
    <t xml:space="preserve">Premium</t>
  </si>
  <si>
    <t xml:space="preserve">Ritual de aspersão de cinzas</t>
  </si>
  <si>
    <t xml:space="preserve">Aspersión</t>
  </si>
  <si>
    <t xml:space="preserve">Resumo do investimento</t>
  </si>
  <si>
    <t xml:space="preserve">Indicador</t>
  </si>
  <si>
    <t xml:space="preserve">Valor</t>
  </si>
  <si>
    <t xml:space="preserve">Investimento total de obra (5 jardins, c/ adm. e contingência)</t>
  </si>
  <si>
    <t xml:space="preserve">Capacidade total (posições)</t>
  </si>
  <si>
    <t xml:space="preserve">Obra média por posição (amortizando em % da capacidade)</t>
  </si>
  <si>
    <t xml:space="preserve">Margem alvo usada no preço sugerido</t>
  </si>
  <si>
    <t xml:space="preserve">Custos variáveis sobre preço (comissão + fundo + adm/mkt)</t>
  </si>
  <si>
    <t xml:space="preserve">Leitura: margem líquida negativa ou abaixo da margem alvo indica que a faixa de preço do deck não cobre custo + obra + variáveis — revisar preço, composição ou capacidade.</t>
  </si>
  <si>
    <t xml:space="preserve">Premissas gerais e dos jardins</t>
  </si>
  <si>
    <t xml:space="preserve">Premissa geral</t>
  </si>
  <si>
    <t xml:space="preserve">Unid.</t>
  </si>
  <si>
    <t xml:space="preserve">Nota / fonte</t>
  </si>
  <si>
    <t xml:space="preserve">Contingência sobre obra</t>
  </si>
  <si>
    <t xml:space="preserve">%</t>
  </si>
  <si>
    <t xml:space="preserve">Imprevistos de obra; padrão de mercado 10%.</t>
  </si>
  <si>
    <t xml:space="preserve">Administração / gestão de obra</t>
  </si>
  <si>
    <t xml:space="preserve">Encarregado, ferramentas, fretes, canteiro.</t>
  </si>
  <si>
    <t xml:space="preserve">% da capacidade usada para amortizar a obra</t>
  </si>
  <si>
    <t xml:space="preserve">Obra é paga pelos primeiros 70% de lotes vendidos (conservador).</t>
  </si>
  <si>
    <t xml:space="preserve">Nº de cerimônias de aspersão no horizonte de amortização</t>
  </si>
  <si>
    <t xml:space="preserve">un</t>
  </si>
  <si>
    <t xml:space="preserve">Ex.: 5 anos × 60 cerimônias/ano. Validar com histórico de cremações.</t>
  </si>
  <si>
    <t xml:space="preserve">% da obra do Jardín 2 Ecológico alocada à aspersão</t>
  </si>
  <si>
    <t xml:space="preserve">Área de esparcimiento + água corrente compartilhadas com lotes ecológicos.</t>
  </si>
  <si>
    <t xml:space="preserve">Comissão de vendas</t>
  </si>
  <si>
    <t xml:space="preserve">% preço</t>
  </si>
  <si>
    <t xml:space="preserve">Sobre preço sem IVA.</t>
  </si>
  <si>
    <t xml:space="preserve">Fundo de manutenção perpétua</t>
  </si>
  <si>
    <t xml:space="preserve">Reserva para manter jardim, poda, irrigação, reposição de placas.</t>
  </si>
  <si>
    <t xml:space="preserve">Despesas adm./marketing</t>
  </si>
  <si>
    <t xml:space="preserve">Lançamento Día de los Muertos, material, atendimento.</t>
  </si>
  <si>
    <t xml:space="preserve">Margem alvo (lucro)</t>
  </si>
  <si>
    <t xml:space="preserve">Margem líquida desejada sobre preço sem IVA.</t>
  </si>
  <si>
    <t xml:space="preserve">IVA El Salvador</t>
  </si>
  <si>
    <t xml:space="preserve">Imposto al Valor Agregado (13%).</t>
  </si>
  <si>
    <t xml:space="preserve">Premissas por jardim (substituir pela planta / levantamento)</t>
  </si>
  <si>
    <t xml:space="preserve">Parâmetro</t>
  </si>
  <si>
    <t xml:space="preserve">Nota</t>
  </si>
  <si>
    <t xml:space="preserve">Área total de intervenção</t>
  </si>
  <si>
    <t xml:space="preserve">m²</t>
  </si>
  <si>
    <t xml:space="preserve">Estimada a partir das fotos; medir em campo.</t>
  </si>
  <si>
    <t xml:space="preserve">Comprimento do caminho / vía peatonal</t>
  </si>
  <si>
    <t xml:space="preserve">m</t>
  </si>
  <si>
    <t xml:space="preserve">Canva: caminho 1,2 m em gravilla com bordillo prefabricado; Curva 1: vía peatonal ≥1 m junto ao bordillo.</t>
  </si>
  <si>
    <t xml:space="preserve">Largura do caminho</t>
  </si>
  <si>
    <t xml:space="preserve">Conforme Canva.</t>
  </si>
  <si>
    <t xml:space="preserve">Área de paisagismo (plantio)</t>
  </si>
  <si>
    <t xml:space="preserve">Plantas de sombra, alturas e texturas variadas.</t>
  </si>
  <si>
    <t xml:space="preserve">Capacidade (posições de inumação)</t>
  </si>
  <si>
    <t xml:space="preserve">posições</t>
  </si>
  <si>
    <t xml:space="preserve">Cova 30×30×40 cm; ~0,5 m² por posição com circulação.</t>
  </si>
  <si>
    <t xml:space="preserve">Fontes: projeto Canva “Jardines de Cenizas” (Luana Magedanz); dimensões não informadas no projeto são estimativas.</t>
  </si>
  <si>
    <t xml:space="preserve">Custos unitários de referência (USD, com IVA, El Salvador)</t>
  </si>
  <si>
    <t xml:space="preserve">ID</t>
  </si>
  <si>
    <t xml:space="preserve">Item</t>
  </si>
  <si>
    <t xml:space="preserve">Custo unit. (US$)</t>
  </si>
  <si>
    <t xml:space="preserve">Premissa / fonte</t>
  </si>
  <si>
    <t xml:space="preserve">OBRA</t>
  </si>
  <si>
    <t xml:space="preserve">O1</t>
  </si>
  <si>
    <t xml:space="preserve">Topografia, locação e traçado do caminho</t>
  </si>
  <si>
    <t xml:space="preserve">vb</t>
  </si>
  <si>
    <t xml:space="preserve">Levantamento simples + marcação. Canva: “trazar primero el camino”.</t>
  </si>
  <si>
    <t xml:space="preserve">O2</t>
  </si>
  <si>
    <t xml:space="preserve">Limpeza, destoca leve e nivelamento do terreno</t>
  </si>
  <si>
    <t xml:space="preserve">Mão de obra + roçada + regularização manual/mini-carregadeira.</t>
  </si>
  <si>
    <t xml:space="preserve">O3</t>
  </si>
  <si>
    <t xml:space="preserve">Caminho em gravilla (escavação 10 cm, geotêxtil, base compactada, gravilla 8 cm)</t>
  </si>
  <si>
    <t xml:space="preserve">Gravilla ≈ US$51/m³ (El Mundo SV, jul/2026) + geotêxtil + base + MO.</t>
  </si>
  <si>
    <t xml:space="preserve">O4</t>
  </si>
  <si>
    <t xml:space="preserve">Bordillo prefabricado de concreto (fornec. + assentamento)</t>
  </si>
  <si>
    <t xml:space="preserve">ml</t>
  </si>
  <si>
    <t xml:space="preserve">Peça pré-moldada de jardim + argamassa + MO. Aplicado nos 2 lados do caminho.</t>
  </si>
  <si>
    <t xml:space="preserve">O5</t>
  </si>
  <si>
    <t xml:space="preserve">Vía peatonal em concreto 8 cm (aclive – Curva 1)</t>
  </si>
  <si>
    <t xml:space="preserve">No aclive, gravilla escorre; concreto é mais adequado. Canva: ≥1 m junto ao bordillo.</t>
  </si>
  <si>
    <t xml:space="preserve">O6</t>
  </si>
  <si>
    <t xml:space="preserve">Terraços / contenção com troncos tratados</t>
  </si>
  <si>
    <t xml:space="preserve">Referência foto Curva 1 (degraus com troncos).</t>
  </si>
  <si>
    <t xml:space="preserve">O7</t>
  </si>
  <si>
    <t xml:space="preserve">Terra vegetal + adubação + mulch</t>
  </si>
  <si>
    <t xml:space="preserve">10 cm de terra preparada nas áreas de plantio.</t>
  </si>
  <si>
    <t xml:space="preserve">O8</t>
  </si>
  <si>
    <t xml:space="preserve">Plantas de sombra (mudas, plantio)</t>
  </si>
  <si>
    <t xml:space="preserve">Mix de folhagens/arbustos de sombra, ~4 mudas/m².</t>
  </si>
  <si>
    <t xml:space="preserve">O9</t>
  </si>
  <si>
    <t xml:space="preserve">Orquídeas fixadas em árvores</t>
  </si>
  <si>
    <t xml:space="preserve">Bosque de las Orquídeas.</t>
  </si>
  <si>
    <t xml:space="preserve">O10</t>
  </si>
  <si>
    <t xml:space="preserve">Irrigação básica (gotejo/mangueira)</t>
  </si>
  <si>
    <t xml:space="preserve">Sobre área de paisagismo.</t>
  </si>
  <si>
    <t xml:space="preserve">O11</t>
  </si>
  <si>
    <t xml:space="preserve">Banco contemplativo (concreto/madeira)</t>
  </si>
  <si>
    <t xml:space="preserve">Canva Jardín 1: “dejar espacio para un banco”.</t>
  </si>
  <si>
    <t xml:space="preserve">O12</t>
  </si>
  <si>
    <t xml:space="preserve">Água corrente / riacho recirculante (liner, pedras, bomba)</t>
  </si>
  <si>
    <t xml:space="preserve">Canva Jardín 2: agua corriente que se extiende hasta el jardín.</t>
  </si>
  <si>
    <t xml:space="preserve">O13</t>
  </si>
  <si>
    <t xml:space="preserve">Fonte cerimonial pré-fabricada + bomba</t>
  </si>
  <si>
    <t xml:space="preserve">Canva Jardín 3: ceremonia con agua.</t>
  </si>
  <si>
    <t xml:space="preserve">O14</t>
  </si>
  <si>
    <t xml:space="preserve">Instalação elétrica/hidráulica para bombas</t>
  </si>
  <si>
    <t xml:space="preserve">Ponto de força, quadro, tubulação de reposição.</t>
  </si>
  <si>
    <t xml:space="preserve">O15</t>
  </si>
  <si>
    <t xml:space="preserve">Barreira visual (cerca viva / biombo vegetal)</t>
  </si>
  <si>
    <t xml:space="preserve">Canva Jardín 3: barrera visual para el crematorio.</t>
  </si>
  <si>
    <t xml:space="preserve">O16</t>
  </si>
  <si>
    <t xml:space="preserve">Totem / sinalização de identificação do jardim</t>
  </si>
  <si>
    <t xml:space="preserve">Placa de entrada + regras de uso.</t>
  </si>
  <si>
    <t xml:space="preserve">PRODUTO</t>
  </si>
  <si>
    <t xml:space="preserve">P1</t>
  </si>
  <si>
    <t xml:space="preserve">Abertura e fechamento de cova 30×30×40 cm (MO)</t>
  </si>
  <si>
    <t xml:space="preserve">~30 min de ajudante, incl. encargos.</t>
  </si>
  <si>
    <t xml:space="preserve">P2</t>
  </si>
  <si>
    <t xml:space="preserve">Urna ecológica biodegradável (juta/papelão/sal)</t>
  </si>
  <si>
    <t xml:space="preserve">Canva: urnas ecológicas (saco de juta / caixa kraft). Preço atacado.</t>
  </si>
  <si>
    <t xml:space="preserve">P3</t>
  </si>
  <si>
    <t xml:space="preserve">Placa de madeira Ø20 cm tratada (autoclave) + gravação laser</t>
  </si>
  <si>
    <t xml:space="preserve">Canva: verificar tratamento para não deteriorar em contato com o solo.</t>
  </si>
  <si>
    <t xml:space="preserve">P4</t>
  </si>
  <si>
    <t xml:space="preserve">Estaca de fixação da placa de madeira</t>
  </si>
  <si>
    <t xml:space="preserve">P5</t>
  </si>
  <si>
    <t xml:space="preserve">Varilla metálica galvanizada para placa vertical</t>
  </si>
  <si>
    <t xml:space="preserve">Canva Jardín 2: placas em varilla, sem contato com o solo.</t>
  </si>
  <si>
    <t xml:space="preserve">P6</t>
  </si>
  <si>
    <t xml:space="preserve">Placa de mármore 20×15 cm gravada</t>
  </si>
  <si>
    <t xml:space="preserve">Canva Bosque / Jardín 3.</t>
  </si>
  <si>
    <t xml:space="preserve">P7</t>
  </si>
  <si>
    <t xml:space="preserve">Contenedor cilíndrico Ø32×40 cm (polietileno)</t>
  </si>
  <si>
    <t xml:space="preserve">Canva Jardín 1: enterrar deixando 20 cm à vista.</t>
  </si>
  <si>
    <t xml:space="preserve">P8</t>
  </si>
  <si>
    <t xml:space="preserve">Tampa de granito Ø32 cm (corte + polimento)</t>
  </si>
  <si>
    <t xml:space="preserve">Canva: “se sustituye la tapa por una tapa de granito”.</t>
  </si>
  <si>
    <t xml:space="preserve">P9</t>
  </si>
  <si>
    <t xml:space="preserve">Placa vidro/policarbonato 15×10 cm gravada + fixação</t>
  </si>
  <si>
    <t xml:space="preserve">Canva Jardín 1.</t>
  </si>
  <si>
    <t xml:space="preserve">P10</t>
  </si>
  <si>
    <t xml:space="preserve">Cilindro pré-moldado de concreto c/ tampa</t>
  </si>
  <si>
    <t xml:space="preserve">Canva pág. 9 (Jardín para inhumación de urnas).</t>
  </si>
  <si>
    <t xml:space="preserve">P11</t>
  </si>
  <si>
    <t xml:space="preserve">Base drenante (gravilla/areia) por cova</t>
  </si>
  <si>
    <t xml:space="preserve">≈0,02 m³ por cova.</t>
  </si>
  <si>
    <t xml:space="preserve">P12</t>
  </si>
  <si>
    <t xml:space="preserve">Mão de obra de instalação (contenedor/placa)</t>
  </si>
  <si>
    <t xml:space="preserve">Assentamento, nível, rejunte.</t>
  </si>
  <si>
    <t xml:space="preserve">P13</t>
  </si>
  <si>
    <t xml:space="preserve">Planta individual de homenagem</t>
  </si>
  <si>
    <t xml:space="preserve">Muda plantada junto à placa.</t>
  </si>
  <si>
    <t xml:space="preserve">P14</t>
  </si>
  <si>
    <t xml:space="preserve">Placa familiar de granito 40×30 cm gravada (Premium)</t>
  </si>
  <si>
    <t xml:space="preserve">Acabamento de linha superior (deck VANGRUPO).</t>
  </si>
  <si>
    <t xml:space="preserve">P15</t>
  </si>
  <si>
    <t xml:space="preserve">Paisagismo exclusivo do lote familiar (Premium)</t>
  </si>
  <si>
    <t xml:space="preserve">Bordadura + plantas diferenciadas.</t>
  </si>
  <si>
    <t xml:space="preserve">P16</t>
  </si>
  <si>
    <t xml:space="preserve">Pétalas/flores para cerimônia</t>
  </si>
  <si>
    <t xml:space="preserve">Aspersión.</t>
  </si>
  <si>
    <t xml:space="preserve">P17</t>
  </si>
  <si>
    <t xml:space="preserve">Atendimento cerimonial (2 pessoas × 2 h)</t>
  </si>
  <si>
    <t xml:space="preserve">Inclui encargos; deck: asistencia protocolaria.</t>
  </si>
  <si>
    <t xml:space="preserve">P18</t>
  </si>
  <si>
    <t xml:space="preserve">Nome em placa memorial coletiva (aspersão)</t>
  </si>
  <si>
    <t xml:space="preserve">Gravação em placa/painel coletivo.</t>
  </si>
  <si>
    <t xml:space="preserve">P19</t>
  </si>
  <si>
    <t xml:space="preserve">Registro, certificado e documentação</t>
  </si>
  <si>
    <t xml:space="preserve">Impressão + controle de localização.</t>
  </si>
  <si>
    <t xml:space="preserve">Fonte gravilla/areia: diario.elmundo.sv – “Asfalto, cemento, bloques y otros materiales reportan incrementos” (2026). Demais: referências de mercado, validar com cotações locais.</t>
  </si>
  <si>
    <t xml:space="preserve">Investimento de obra por jardim (Cenário A)</t>
  </si>
  <si>
    <t xml:space="preserve">Quantidades</t>
  </si>
  <si>
    <t xml:space="preserve">Custo</t>
  </si>
  <si>
    <t xml:space="preserve">Custo unit.</t>
  </si>
  <si>
    <t xml:space="preserve">Curva 1
qtd.</t>
  </si>
  <si>
    <t xml:space="preserve">Jardín 1
qtd.</t>
  </si>
  <si>
    <t xml:space="preserve">Jardín 2
qtd.</t>
  </si>
  <si>
    <t xml:space="preserve">Jardín 3
qtd.</t>
  </si>
  <si>
    <t xml:space="preserve">Curva 1
US$</t>
  </si>
  <si>
    <t xml:space="preserve">Jardín 1
US$</t>
  </si>
  <si>
    <t xml:space="preserve">Jardín 2
US$</t>
  </si>
  <si>
    <t xml:space="preserve">Jardín 3
US$</t>
  </si>
  <si>
    <t xml:space="preserve">Total US$</t>
  </si>
  <si>
    <t xml:space="preserve">Subtotal obra direta</t>
  </si>
  <si>
    <t xml:space="preserve">Contingência</t>
  </si>
  <si>
    <t xml:space="preserve">TOTAL INVESTIMENTO DE OBRA</t>
  </si>
  <si>
    <t xml:space="preserve">Capacidade (posições)</t>
  </si>
  <si>
    <t xml:space="preserve">Obra por posição (capacidade total)</t>
  </si>
  <si>
    <t xml:space="preserve">Obra por posição (amortizando em % da capacidade)</t>
  </si>
  <si>
    <t xml:space="preserve">Composição de custo direto por produto (Cenário B)</t>
  </si>
  <si>
    <t xml:space="preserve">CUSTO DIRETO POR UNIDADE VENDIDA</t>
  </si>
  <si>
    <t xml:space="preserve">Quantidades em azul: alterar para refletir a composição final de cada produto. Produtos com contenedor/cilindro não incluem a urna (trazida pelo cliente).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</si>
</sst>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\$#,##0;&quot;($&quot;#,##0\);\-"/>
    <numFmt numFmtId="167" formatCode="0.0%;\(0.0%\);\-"/>
    <numFmt numFmtId="168" formatCode="#,##0;\(#,##0\);\-"/>
    <numFmt numFmtId="169" formatCode="#,##0.0;\(#,##0.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251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4A25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4A25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A2511"/>
        <bgColor rgb="FF333333"/>
      </patternFill>
    </fill>
    <fill>
      <patternFill patternType="solid">
        <fgColor rgb="FFE8D5C4"/>
        <bgColor rgb="FFF3E6DC"/>
      </patternFill>
    </fill>
    <fill>
      <patternFill patternType="solid">
        <fgColor rgb="FFFFFF00"/>
        <bgColor rgb="FFFFFF00"/>
      </patternFill>
    </fill>
    <fill>
      <patternFill patternType="solid">
        <fgColor rgb="FFF3E6DC"/>
        <bgColor rgb="FFE8D5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3E6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D5C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4A2511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23.8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23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23.8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23.85" hidden="false" customHeight="false" outlineLevel="0" collapsed="false">
      <c r="A19" s="2" t="s">
        <v>15</v>
      </c>
    </row>
    <row r="20" customFormat="false" ht="23.85" hidden="false" customHeight="false" outlineLevel="0" collapsed="false">
      <c r="A20" s="2" t="s">
        <v>16</v>
      </c>
    </row>
    <row r="21" customFormat="false" ht="23.8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3"/>
    <col collapsed="false" customWidth="true" hidden="false" outlineLevel="0" max="14" min="11" style="0" width="14"/>
    <col collapsed="false" customWidth="true" hidden="false" outlineLevel="0" max="15" min="15" style="0" width="3"/>
    <col collapsed="false" customWidth="true" hidden="false" outlineLevel="0" max="17" min="16" style="0" width="12"/>
    <col collapsed="false" customWidth="true" hidden="false" outlineLevel="0" max="19" min="18" style="0" width="14"/>
  </cols>
  <sheetData>
    <row r="1" customFormat="false" ht="17.35" hidden="false" customHeight="false" outlineLevel="0" collapsed="false">
      <c r="A1" s="4" t="s">
        <v>18</v>
      </c>
    </row>
    <row r="2" customFormat="false" ht="15" hidden="false" customHeight="false" outlineLevel="0" collapsed="false">
      <c r="A2" s="5" t="s">
        <v>19</v>
      </c>
    </row>
    <row r="4" customFormat="false" ht="57.75" hidden="false" customHeight="true" outlineLevel="0" collapsed="false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/>
      <c r="K4" s="6" t="s">
        <v>29</v>
      </c>
      <c r="L4" s="6" t="s">
        <v>30</v>
      </c>
      <c r="M4" s="6" t="s">
        <v>31</v>
      </c>
      <c r="N4" s="6" t="s">
        <v>32</v>
      </c>
      <c r="O4" s="6"/>
      <c r="P4" s="6" t="s">
        <v>33</v>
      </c>
      <c r="Q4" s="6" t="s">
        <v>34</v>
      </c>
      <c r="R4" s="6" t="s">
        <v>35</v>
      </c>
      <c r="S4" s="6" t="s">
        <v>36</v>
      </c>
    </row>
    <row r="5" customFormat="false" ht="15" hidden="false" customHeight="false" outlineLevel="0" collapsed="false">
      <c r="A5" s="7" t="s">
        <v>37</v>
      </c>
      <c r="B5" s="8" t="s">
        <v>38</v>
      </c>
      <c r="C5" s="8" t="s">
        <v>39</v>
      </c>
      <c r="D5" s="9" t="n">
        <f aca="false">Produtos!D$23</f>
        <v>51</v>
      </c>
      <c r="E5" s="10" t="n">
        <f aca="false">Obra!J$23</f>
        <v>13204.2</v>
      </c>
      <c r="F5" s="11" t="n">
        <v>1</v>
      </c>
      <c r="G5" s="12" t="n">
        <f aca="false">Premissas!$C$21*Premissas!$C$6</f>
        <v>140</v>
      </c>
      <c r="H5" s="13" t="n">
        <v>1</v>
      </c>
      <c r="I5" s="14" t="n">
        <f aca="false">IFERROR(E5*F5/G5*H5,0)</f>
        <v>94.3157142857143</v>
      </c>
      <c r="K5" s="15" t="n">
        <f aca="false">D5+I5</f>
        <v>145.315714285714</v>
      </c>
      <c r="L5" s="16" t="n">
        <f aca="false">D5/(1-Premissas!$C$9-Premissas!$C$10-Premissas!$C$11-Premissas!$C$12)*(1+Premissas!$C$13)</f>
        <v>137.214285714286</v>
      </c>
      <c r="M5" s="17" t="n">
        <f aca="false">K5/(1-Premissas!$C$9-Premissas!$C$10-Premissas!$C$11-Premissas!$C$12)*(1+Premissas!$C$13)</f>
        <v>390.968469387755</v>
      </c>
      <c r="N5" s="16" t="n">
        <f aca="false">K5/(1-Premissas!$C$9-Premissas!$C$10-Premissas!$C$11-Premissas!$C$12)</f>
        <v>345.989795918367</v>
      </c>
      <c r="P5" s="18" t="n">
        <v>400</v>
      </c>
      <c r="Q5" s="18" t="n">
        <v>600</v>
      </c>
      <c r="R5" s="19" t="n">
        <f aca="false">IFERROR(1-K5/(P5/(1+Premissas!$C$13))-(Premissas!$C$9+Premissas!$C$10+Premissas!$C$11),0)</f>
        <v>0.309483107142857</v>
      </c>
      <c r="S5" s="19" t="n">
        <f aca="false">IFERROR(1-K5/(Q5/(1+Premissas!$C$13))-(Premissas!$C$9+Premissas!$C$10+Premissas!$C$11),0)</f>
        <v>0.446322071428571</v>
      </c>
    </row>
    <row r="6" customFormat="false" ht="15" hidden="false" customHeight="false" outlineLevel="0" collapsed="false">
      <c r="A6" s="7" t="s">
        <v>40</v>
      </c>
      <c r="B6" s="8" t="s">
        <v>41</v>
      </c>
      <c r="C6" s="8" t="s">
        <v>39</v>
      </c>
      <c r="D6" s="9" t="n">
        <f aca="false">Produtos!E$23</f>
        <v>56</v>
      </c>
      <c r="E6" s="10" t="n">
        <f aca="false">Obra!L$23</f>
        <v>32379.2</v>
      </c>
      <c r="F6" s="20" t="n">
        <f aca="false">1-Premissas!$C$8</f>
        <v>0.7</v>
      </c>
      <c r="G6" s="12" t="n">
        <f aca="false">Premissas!$E$21*Premissas!$C$6</f>
        <v>210</v>
      </c>
      <c r="H6" s="13" t="n">
        <v>1</v>
      </c>
      <c r="I6" s="14" t="n">
        <f aca="false">IFERROR(E6*F6/G6*H6,0)</f>
        <v>107.930666666667</v>
      </c>
      <c r="K6" s="15" t="n">
        <f aca="false">D6+I6</f>
        <v>163.930666666667</v>
      </c>
      <c r="L6" s="16" t="n">
        <f aca="false">D6/(1-Premissas!$C$9-Premissas!$C$10-Premissas!$C$11-Premissas!$C$12)*(1+Premissas!$C$13)</f>
        <v>150.666666666667</v>
      </c>
      <c r="M6" s="17" t="n">
        <f aca="false">K6/(1-Premissas!$C$9-Premissas!$C$10-Premissas!$C$11-Premissas!$C$12)*(1+Premissas!$C$13)</f>
        <v>441.051555555555</v>
      </c>
      <c r="N6" s="16" t="n">
        <f aca="false">K6/(1-Premissas!$C$9-Premissas!$C$10-Premissas!$C$11-Premissas!$C$12)</f>
        <v>390.311111111111</v>
      </c>
      <c r="P6" s="18" t="n">
        <v>400</v>
      </c>
      <c r="Q6" s="18" t="n">
        <v>600</v>
      </c>
      <c r="R6" s="19" t="n">
        <f aca="false">IFERROR(1-K6/(P6/(1+Premissas!$C$13))-(Premissas!$C$9+Premissas!$C$10+Premissas!$C$11),0)</f>
        <v>0.256895866666667</v>
      </c>
      <c r="S6" s="19" t="n">
        <f aca="false">IFERROR(1-K6/(Q6/(1+Premissas!$C$13))-(Premissas!$C$9+Premissas!$C$10+Premissas!$C$11),0)</f>
        <v>0.411263911111111</v>
      </c>
    </row>
    <row r="7" customFormat="false" ht="15" hidden="false" customHeight="false" outlineLevel="0" collapsed="false">
      <c r="A7" s="7" t="s">
        <v>42</v>
      </c>
      <c r="B7" s="8" t="s">
        <v>43</v>
      </c>
      <c r="C7" s="8" t="s">
        <v>39</v>
      </c>
      <c r="D7" s="9" t="n">
        <f aca="false">Produtos!F$23</f>
        <v>77</v>
      </c>
      <c r="E7" s="10" t="n">
        <f aca="false">Obra!M$23</f>
        <v>14169.44</v>
      </c>
      <c r="F7" s="11" t="n">
        <v>1</v>
      </c>
      <c r="G7" s="12" t="n">
        <f aca="false">Premissas!$F$21*Premissas!$C$6</f>
        <v>140</v>
      </c>
      <c r="H7" s="13" t="n">
        <v>1</v>
      </c>
      <c r="I7" s="14" t="n">
        <f aca="false">IFERROR(E7*F7/G7*H7,0)</f>
        <v>101.210285714286</v>
      </c>
      <c r="K7" s="15" t="n">
        <f aca="false">D7+I7</f>
        <v>178.210285714286</v>
      </c>
      <c r="L7" s="16" t="n">
        <f aca="false">D7/(1-Premissas!$C$9-Premissas!$C$10-Premissas!$C$11-Premissas!$C$12)*(1+Premissas!$C$13)</f>
        <v>207.166666666667</v>
      </c>
      <c r="M7" s="17" t="n">
        <f aca="false">K7/(1-Premissas!$C$9-Premissas!$C$10-Premissas!$C$11-Premissas!$C$12)*(1+Premissas!$C$13)</f>
        <v>479.470530612245</v>
      </c>
      <c r="N7" s="16" t="n">
        <f aca="false">K7/(1-Premissas!$C$9-Premissas!$C$10-Premissas!$C$11-Premissas!$C$12)</f>
        <v>424.310204081633</v>
      </c>
      <c r="P7" s="18" t="n">
        <v>400</v>
      </c>
      <c r="Q7" s="18" t="n">
        <v>600</v>
      </c>
      <c r="R7" s="19" t="n">
        <f aca="false">IFERROR(1-K7/(P7/(1+Premissas!$C$13))-(Premissas!$C$9+Premissas!$C$10+Premissas!$C$11),0)</f>
        <v>0.216555942857143</v>
      </c>
      <c r="S7" s="19" t="n">
        <f aca="false">IFERROR(1-K7/(Q7/(1+Premissas!$C$13))-(Premissas!$C$9+Premissas!$C$10+Premissas!$C$11),0)</f>
        <v>0.384370628571429</v>
      </c>
    </row>
    <row r="8" customFormat="false" ht="15" hidden="false" customHeight="false" outlineLevel="0" collapsed="false">
      <c r="A8" s="7" t="s">
        <v>44</v>
      </c>
      <c r="B8" s="8" t="s">
        <v>45</v>
      </c>
      <c r="C8" s="8" t="s">
        <v>39</v>
      </c>
      <c r="D8" s="9" t="n">
        <f aca="false">Produtos!G$23</f>
        <v>95</v>
      </c>
      <c r="E8" s="10" t="n">
        <f aca="false">Obra!K$23</f>
        <v>18837.52</v>
      </c>
      <c r="F8" s="11" t="n">
        <v>1</v>
      </c>
      <c r="G8" s="12" t="n">
        <f aca="false">Premissas!$D$21*Premissas!$C$6</f>
        <v>210</v>
      </c>
      <c r="H8" s="13" t="n">
        <v>1</v>
      </c>
      <c r="I8" s="14" t="n">
        <f aca="false">IFERROR(E8*F8/G8*H8,0)</f>
        <v>89.7024761904762</v>
      </c>
      <c r="K8" s="15" t="n">
        <f aca="false">D8+I8</f>
        <v>184.702476190476</v>
      </c>
      <c r="L8" s="16" t="n">
        <f aca="false">D8/(1-Premissas!$C$9-Premissas!$C$10-Premissas!$C$11-Premissas!$C$12)*(1+Premissas!$C$13)</f>
        <v>255.595238095238</v>
      </c>
      <c r="M8" s="17" t="n">
        <f aca="false">K8/(1-Premissas!$C$9-Premissas!$C$10-Premissas!$C$11-Premissas!$C$12)*(1+Premissas!$C$13)</f>
        <v>496.937614512472</v>
      </c>
      <c r="N8" s="16" t="n">
        <f aca="false">K8/(1-Premissas!$C$9-Premissas!$C$10-Premissas!$C$11-Premissas!$C$12)</f>
        <v>439.767800453515</v>
      </c>
      <c r="P8" s="18" t="n">
        <v>400</v>
      </c>
      <c r="Q8" s="18" t="n">
        <v>600</v>
      </c>
      <c r="R8" s="19" t="n">
        <f aca="false">IFERROR(1-K8/(P8/(1+Premissas!$C$13))-(Premissas!$C$9+Premissas!$C$10+Premissas!$C$11),0)</f>
        <v>0.198215504761905</v>
      </c>
      <c r="S8" s="19" t="n">
        <f aca="false">IFERROR(1-K8/(Q8/(1+Premissas!$C$13))-(Premissas!$C$9+Premissas!$C$10+Premissas!$C$11),0)</f>
        <v>0.37214366984127</v>
      </c>
    </row>
    <row r="9" customFormat="false" ht="15" hidden="false" customHeight="false" outlineLevel="0" collapsed="false">
      <c r="A9" s="7" t="s">
        <v>46</v>
      </c>
      <c r="B9" s="8" t="s">
        <v>47</v>
      </c>
      <c r="C9" s="8" t="s">
        <v>39</v>
      </c>
      <c r="D9" s="9" t="n">
        <f aca="false">Produtos!H$23</f>
        <v>93</v>
      </c>
      <c r="E9" s="10" t="n">
        <f aca="false">Obra!N$23</f>
        <v>18844.6</v>
      </c>
      <c r="F9" s="11" t="n">
        <v>1</v>
      </c>
      <c r="G9" s="12" t="n">
        <f aca="false">Premissas!$G$21*Premissas!$C$6</f>
        <v>105</v>
      </c>
      <c r="H9" s="13" t="n">
        <v>1</v>
      </c>
      <c r="I9" s="14" t="n">
        <f aca="false">IFERROR(E9*F9/G9*H9,0)</f>
        <v>179.472380952381</v>
      </c>
      <c r="K9" s="15" t="n">
        <f aca="false">D9+I9</f>
        <v>272.472380952381</v>
      </c>
      <c r="L9" s="16" t="n">
        <f aca="false">D9/(1-Premissas!$C$9-Premissas!$C$10-Premissas!$C$11-Premissas!$C$12)*(1+Premissas!$C$13)</f>
        <v>250.214285714286</v>
      </c>
      <c r="M9" s="17" t="n">
        <f aca="false">K9/(1-Premissas!$C$9-Premissas!$C$10-Premissas!$C$11-Premissas!$C$12)*(1+Premissas!$C$13)</f>
        <v>733.080453514739</v>
      </c>
      <c r="N9" s="16" t="n">
        <f aca="false">K9/(1-Premissas!$C$9-Premissas!$C$10-Premissas!$C$11-Premissas!$C$12)</f>
        <v>648.743764172335</v>
      </c>
      <c r="P9" s="18" t="n">
        <v>400</v>
      </c>
      <c r="Q9" s="18" t="n">
        <v>600</v>
      </c>
      <c r="R9" s="19" t="n">
        <f aca="false">IFERROR(1-K9/(P9/(1+Premissas!$C$13))-(Premissas!$C$9+Premissas!$C$10+Premissas!$C$11),0)</f>
        <v>-0.0497344761904761</v>
      </c>
      <c r="S9" s="19" t="n">
        <f aca="false">IFERROR(1-K9/(Q9/(1+Premissas!$C$13))-(Premissas!$C$9+Premissas!$C$10+Premissas!$C$11),0)</f>
        <v>0.206843682539683</v>
      </c>
    </row>
    <row r="10" customFormat="false" ht="15" hidden="false" customHeight="false" outlineLevel="0" collapsed="false">
      <c r="A10" s="7" t="s">
        <v>48</v>
      </c>
      <c r="B10" s="8" t="s">
        <v>45</v>
      </c>
      <c r="C10" s="8" t="s">
        <v>49</v>
      </c>
      <c r="D10" s="9" t="n">
        <f aca="false">Produtos!I$23</f>
        <v>462</v>
      </c>
      <c r="E10" s="10" t="n">
        <f aca="false">Obra!K$23</f>
        <v>18837.52</v>
      </c>
      <c r="F10" s="11" t="n">
        <v>1</v>
      </c>
      <c r="G10" s="12" t="n">
        <f aca="false">Premissas!$D$21*Premissas!$C$6</f>
        <v>210</v>
      </c>
      <c r="H10" s="13" t="n">
        <v>4</v>
      </c>
      <c r="I10" s="14" t="n">
        <f aca="false">IFERROR(E10*F10/G10*H10,0)</f>
        <v>358.809904761905</v>
      </c>
      <c r="K10" s="15" t="n">
        <f aca="false">D10+I10</f>
        <v>820.809904761905</v>
      </c>
      <c r="L10" s="16" t="n">
        <f aca="false">D10/(1-Premissas!$C$9-Premissas!$C$10-Premissas!$C$11-Premissas!$C$12)*(1+Premissas!$C$13)</f>
        <v>1243</v>
      </c>
      <c r="M10" s="17" t="n">
        <f aca="false">K10/(1-Premissas!$C$9-Premissas!$C$10-Premissas!$C$11-Premissas!$C$12)*(1+Premissas!$C$13)</f>
        <v>2208.36950566893</v>
      </c>
      <c r="N10" s="16" t="n">
        <f aca="false">K10/(1-Premissas!$C$9-Premissas!$C$10-Premissas!$C$11-Premissas!$C$12)</f>
        <v>1954.30929705215</v>
      </c>
      <c r="P10" s="18" t="n">
        <v>1490</v>
      </c>
      <c r="Q10" s="18" t="n">
        <v>1990</v>
      </c>
      <c r="R10" s="19" t="n">
        <f aca="false">IFERROR(1-K10/(P10/(1+Premissas!$C$13))-(Premissas!$C$9+Premissas!$C$10+Premissas!$C$11),0)</f>
        <v>0.0975065822946628</v>
      </c>
      <c r="S10" s="19" t="n">
        <f aca="false">IFERROR(1-K10/(Q10/(1+Premissas!$C$13))-(Premissas!$C$9+Premissas!$C$10+Premissas!$C$11),0)</f>
        <v>0.253911963627662</v>
      </c>
    </row>
    <row r="11" customFormat="false" ht="15" hidden="false" customHeight="false" outlineLevel="0" collapsed="false">
      <c r="A11" s="7" t="s">
        <v>50</v>
      </c>
      <c r="B11" s="8" t="s">
        <v>41</v>
      </c>
      <c r="C11" s="8" t="s">
        <v>51</v>
      </c>
      <c r="D11" s="9" t="n">
        <f aca="false">Produtos!J$23</f>
        <v>48</v>
      </c>
      <c r="E11" s="10" t="n">
        <f aca="false">Obra!L$23</f>
        <v>32379.2</v>
      </c>
      <c r="F11" s="20" t="n">
        <f aca="false">Premissas!$C$8</f>
        <v>0.3</v>
      </c>
      <c r="G11" s="12" t="n">
        <f aca="false">Premissas!$C$7</f>
        <v>300</v>
      </c>
      <c r="H11" s="13" t="n">
        <v>1</v>
      </c>
      <c r="I11" s="14" t="n">
        <f aca="false">IFERROR(E11*F11/G11*H11,0)</f>
        <v>32.3792</v>
      </c>
      <c r="K11" s="15" t="n">
        <f aca="false">D11+I11</f>
        <v>80.3792</v>
      </c>
      <c r="L11" s="16" t="n">
        <f aca="false">D11/(1-Premissas!$C$9-Premissas!$C$10-Premissas!$C$11-Premissas!$C$12)*(1+Premissas!$C$13)</f>
        <v>129.142857142857</v>
      </c>
      <c r="M11" s="17" t="n">
        <f aca="false">K11/(1-Premissas!$C$9-Premissas!$C$10-Premissas!$C$11-Premissas!$C$12)*(1+Premissas!$C$13)</f>
        <v>216.258323809524</v>
      </c>
      <c r="N11" s="16" t="n">
        <f aca="false">K11/(1-Premissas!$C$9-Premissas!$C$10-Premissas!$C$11-Premissas!$C$12)</f>
        <v>191.379047619048</v>
      </c>
      <c r="P11" s="18" t="n">
        <v>150</v>
      </c>
      <c r="Q11" s="18" t="n">
        <v>250</v>
      </c>
      <c r="R11" s="19" t="n">
        <f aca="false">IFERROR(1-K11/(P11/(1+Premissas!$C$13))-(Premissas!$C$9+Premissas!$C$10+Premissas!$C$11),0)</f>
        <v>0.114476693333333</v>
      </c>
      <c r="S11" s="19" t="n">
        <f aca="false">IFERROR(1-K11/(Q11/(1+Premissas!$C$13))-(Premissas!$C$9+Premissas!$C$10+Premissas!$C$11),0)</f>
        <v>0.356686016</v>
      </c>
    </row>
    <row r="13" customFormat="false" ht="15" hidden="false" customHeight="false" outlineLevel="0" collapsed="false">
      <c r="A13" s="21" t="s">
        <v>52</v>
      </c>
    </row>
    <row r="14" customFormat="false" ht="31.5" hidden="false" customHeight="true" outlineLevel="0" collapsed="false">
      <c r="A14" s="6" t="s">
        <v>53</v>
      </c>
      <c r="B14" s="6"/>
      <c r="C14" s="6"/>
      <c r="D14" s="6" t="s">
        <v>54</v>
      </c>
    </row>
    <row r="15" customFormat="false" ht="15" hidden="false" customHeight="false" outlineLevel="0" collapsed="false">
      <c r="A15" s="8" t="s">
        <v>55</v>
      </c>
      <c r="B15" s="8"/>
      <c r="C15" s="8"/>
      <c r="D15" s="17" t="n">
        <f aca="false">Obra!O23</f>
        <v>97434.96</v>
      </c>
    </row>
    <row r="16" customFormat="false" ht="15" hidden="false" customHeight="false" outlineLevel="0" collapsed="false">
      <c r="A16" s="8" t="s">
        <v>56</v>
      </c>
      <c r="B16" s="8"/>
      <c r="C16" s="8"/>
      <c r="D16" s="22" t="n">
        <f aca="false">Obra!O25</f>
        <v>1150</v>
      </c>
    </row>
    <row r="17" customFormat="false" ht="15" hidden="false" customHeight="false" outlineLevel="0" collapsed="false">
      <c r="A17" s="8" t="s">
        <v>57</v>
      </c>
      <c r="B17" s="8"/>
      <c r="C17" s="8"/>
      <c r="D17" s="17" t="n">
        <f aca="false">Obra!O27</f>
        <v>121.037217391304</v>
      </c>
    </row>
    <row r="18" customFormat="false" ht="15" hidden="false" customHeight="false" outlineLevel="0" collapsed="false">
      <c r="A18" s="8" t="s">
        <v>58</v>
      </c>
      <c r="B18" s="8"/>
      <c r="C18" s="8"/>
      <c r="D18" s="23" t="n">
        <f aca="false">Premissas!$C$12</f>
        <v>0.3</v>
      </c>
    </row>
    <row r="19" customFormat="false" ht="15" hidden="false" customHeight="false" outlineLevel="0" collapsed="false">
      <c r="A19" s="8" t="s">
        <v>59</v>
      </c>
      <c r="B19" s="8"/>
      <c r="C19" s="8"/>
      <c r="D19" s="23" t="n">
        <f aca="false">Premissas!$C$9+Premissas!$C$10+Premissas!$C$11</f>
        <v>0.28</v>
      </c>
    </row>
    <row r="21" customFormat="false" ht="15" hidden="false" customHeight="false" outlineLevel="0" collapsed="false">
      <c r="A21" s="5" t="s">
        <v>60</v>
      </c>
    </row>
  </sheetData>
  <mergeCells count="5">
    <mergeCell ref="A15:C15"/>
    <mergeCell ref="A16:C16"/>
    <mergeCell ref="A17:C17"/>
    <mergeCell ref="A18:C18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6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4" t="s">
        <v>61</v>
      </c>
    </row>
    <row r="3" customFormat="false" ht="31.5" hidden="false" customHeight="true" outlineLevel="0" collapsed="false">
      <c r="A3" s="6" t="s">
        <v>62</v>
      </c>
      <c r="B3" s="6" t="s">
        <v>63</v>
      </c>
      <c r="C3" s="6" t="s">
        <v>54</v>
      </c>
      <c r="D3" s="6"/>
      <c r="E3" s="6"/>
      <c r="F3" s="6"/>
      <c r="G3" s="6"/>
      <c r="H3" s="6" t="s">
        <v>64</v>
      </c>
    </row>
    <row r="4" customFormat="false" ht="15" hidden="false" customHeight="false" outlineLevel="0" collapsed="false">
      <c r="A4" s="8" t="s">
        <v>65</v>
      </c>
      <c r="B4" s="8" t="s">
        <v>66</v>
      </c>
      <c r="C4" s="24" t="n">
        <v>0.1</v>
      </c>
      <c r="H4" s="25" t="s">
        <v>67</v>
      </c>
    </row>
    <row r="5" customFormat="false" ht="15" hidden="false" customHeight="false" outlineLevel="0" collapsed="false">
      <c r="A5" s="8" t="s">
        <v>68</v>
      </c>
      <c r="B5" s="8" t="s">
        <v>66</v>
      </c>
      <c r="C5" s="24" t="n">
        <v>0.08</v>
      </c>
      <c r="H5" s="25" t="s">
        <v>69</v>
      </c>
    </row>
    <row r="6" customFormat="false" ht="15" hidden="false" customHeight="false" outlineLevel="0" collapsed="false">
      <c r="A6" s="8" t="s">
        <v>70</v>
      </c>
      <c r="B6" s="8" t="s">
        <v>66</v>
      </c>
      <c r="C6" s="24" t="n">
        <v>0.7</v>
      </c>
      <c r="H6" s="25" t="s">
        <v>71</v>
      </c>
    </row>
    <row r="7" customFormat="false" ht="15" hidden="false" customHeight="false" outlineLevel="0" collapsed="false">
      <c r="A7" s="8" t="s">
        <v>72</v>
      </c>
      <c r="B7" s="8" t="s">
        <v>73</v>
      </c>
      <c r="C7" s="26" t="n">
        <v>300</v>
      </c>
      <c r="H7" s="25" t="s">
        <v>74</v>
      </c>
    </row>
    <row r="8" customFormat="false" ht="15" hidden="false" customHeight="false" outlineLevel="0" collapsed="false">
      <c r="A8" s="8" t="s">
        <v>75</v>
      </c>
      <c r="B8" s="8" t="s">
        <v>66</v>
      </c>
      <c r="C8" s="24" t="n">
        <v>0.3</v>
      </c>
      <c r="H8" s="25" t="s">
        <v>76</v>
      </c>
    </row>
    <row r="9" customFormat="false" ht="15" hidden="false" customHeight="false" outlineLevel="0" collapsed="false">
      <c r="A9" s="8" t="s">
        <v>77</v>
      </c>
      <c r="B9" s="8" t="s">
        <v>78</v>
      </c>
      <c r="C9" s="24" t="n">
        <v>0.1</v>
      </c>
      <c r="H9" s="25" t="s">
        <v>79</v>
      </c>
    </row>
    <row r="10" customFormat="false" ht="15" hidden="false" customHeight="false" outlineLevel="0" collapsed="false">
      <c r="A10" s="8" t="s">
        <v>80</v>
      </c>
      <c r="B10" s="8" t="s">
        <v>78</v>
      </c>
      <c r="C10" s="24" t="n">
        <v>0.1</v>
      </c>
      <c r="H10" s="25" t="s">
        <v>81</v>
      </c>
    </row>
    <row r="11" customFormat="false" ht="15" hidden="false" customHeight="false" outlineLevel="0" collapsed="false">
      <c r="A11" s="8" t="s">
        <v>82</v>
      </c>
      <c r="B11" s="8" t="s">
        <v>78</v>
      </c>
      <c r="C11" s="24" t="n">
        <v>0.08</v>
      </c>
      <c r="H11" s="25" t="s">
        <v>83</v>
      </c>
    </row>
    <row r="12" customFormat="false" ht="15" hidden="false" customHeight="false" outlineLevel="0" collapsed="false">
      <c r="A12" s="8" t="s">
        <v>84</v>
      </c>
      <c r="B12" s="8" t="s">
        <v>78</v>
      </c>
      <c r="C12" s="24" t="n">
        <v>0.3</v>
      </c>
      <c r="H12" s="25" t="s">
        <v>85</v>
      </c>
    </row>
    <row r="13" customFormat="false" ht="15" hidden="false" customHeight="false" outlineLevel="0" collapsed="false">
      <c r="A13" s="8" t="s">
        <v>86</v>
      </c>
      <c r="B13" s="8" t="s">
        <v>66</v>
      </c>
      <c r="C13" s="24" t="n">
        <v>0.13</v>
      </c>
      <c r="H13" s="25" t="s">
        <v>87</v>
      </c>
    </row>
    <row r="15" customFormat="false" ht="15" hidden="false" customHeight="false" outlineLevel="0" collapsed="false">
      <c r="A15" s="21" t="s">
        <v>88</v>
      </c>
    </row>
    <row r="16" customFormat="false" ht="43.5" hidden="false" customHeight="true" outlineLevel="0" collapsed="false">
      <c r="A16" s="6" t="s">
        <v>89</v>
      </c>
      <c r="B16" s="6" t="s">
        <v>63</v>
      </c>
      <c r="C16" s="6" t="s">
        <v>38</v>
      </c>
      <c r="D16" s="6" t="s">
        <v>45</v>
      </c>
      <c r="E16" s="6" t="s">
        <v>41</v>
      </c>
      <c r="F16" s="6" t="s">
        <v>43</v>
      </c>
      <c r="G16" s="6" t="s">
        <v>47</v>
      </c>
      <c r="H16" s="6" t="s">
        <v>90</v>
      </c>
    </row>
    <row r="17" customFormat="false" ht="15" hidden="false" customHeight="false" outlineLevel="0" collapsed="false">
      <c r="A17" s="8" t="s">
        <v>91</v>
      </c>
      <c r="B17" s="8" t="s">
        <v>92</v>
      </c>
      <c r="C17" s="26" t="n">
        <v>300</v>
      </c>
      <c r="D17" s="26" t="n">
        <v>600</v>
      </c>
      <c r="E17" s="26" t="n">
        <v>800</v>
      </c>
      <c r="F17" s="26" t="n">
        <v>500</v>
      </c>
      <c r="G17" s="26" t="n">
        <v>400</v>
      </c>
      <c r="H17" s="25" t="s">
        <v>93</v>
      </c>
    </row>
    <row r="18" customFormat="false" ht="15" hidden="false" customHeight="false" outlineLevel="0" collapsed="false">
      <c r="A18" s="8" t="s">
        <v>94</v>
      </c>
      <c r="B18" s="8" t="s">
        <v>95</v>
      </c>
      <c r="C18" s="26" t="n">
        <v>60</v>
      </c>
      <c r="D18" s="26" t="n">
        <v>80</v>
      </c>
      <c r="E18" s="26" t="n">
        <v>100</v>
      </c>
      <c r="F18" s="26" t="n">
        <v>60</v>
      </c>
      <c r="G18" s="26" t="n">
        <v>50</v>
      </c>
      <c r="H18" s="25" t="s">
        <v>96</v>
      </c>
    </row>
    <row r="19" customFormat="false" ht="15" hidden="false" customHeight="false" outlineLevel="0" collapsed="false">
      <c r="A19" s="8" t="s">
        <v>97</v>
      </c>
      <c r="B19" s="8" t="s">
        <v>95</v>
      </c>
      <c r="C19" s="27" t="n">
        <v>1</v>
      </c>
      <c r="D19" s="27" t="n">
        <v>1.2</v>
      </c>
      <c r="E19" s="27" t="n">
        <v>1.2</v>
      </c>
      <c r="F19" s="27" t="n">
        <v>1.2</v>
      </c>
      <c r="G19" s="27" t="n">
        <v>1.2</v>
      </c>
      <c r="H19" s="25" t="s">
        <v>98</v>
      </c>
    </row>
    <row r="20" customFormat="false" ht="15" hidden="false" customHeight="false" outlineLevel="0" collapsed="false">
      <c r="A20" s="8" t="s">
        <v>99</v>
      </c>
      <c r="B20" s="8" t="s">
        <v>92</v>
      </c>
      <c r="C20" s="26" t="n">
        <v>200</v>
      </c>
      <c r="D20" s="26" t="n">
        <v>400</v>
      </c>
      <c r="E20" s="26" t="n">
        <v>500</v>
      </c>
      <c r="F20" s="26" t="n">
        <v>250</v>
      </c>
      <c r="G20" s="26" t="n">
        <v>250</v>
      </c>
      <c r="H20" s="25" t="s">
        <v>100</v>
      </c>
    </row>
    <row r="21" customFormat="false" ht="15" hidden="false" customHeight="false" outlineLevel="0" collapsed="false">
      <c r="A21" s="8" t="s">
        <v>101</v>
      </c>
      <c r="B21" s="8" t="s">
        <v>102</v>
      </c>
      <c r="C21" s="26" t="n">
        <v>200</v>
      </c>
      <c r="D21" s="26" t="n">
        <v>300</v>
      </c>
      <c r="E21" s="26" t="n">
        <v>300</v>
      </c>
      <c r="F21" s="26" t="n">
        <v>200</v>
      </c>
      <c r="G21" s="26" t="n">
        <v>150</v>
      </c>
      <c r="H21" s="25" t="s">
        <v>103</v>
      </c>
    </row>
    <row r="23" customFormat="false" ht="15" hidden="false" customHeight="false" outlineLevel="0" collapsed="false">
      <c r="A23" s="5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4" t="s">
        <v>105</v>
      </c>
    </row>
    <row r="3" customFormat="false" ht="31.5" hidden="false" customHeight="true" outlineLevel="0" collapsed="false">
      <c r="A3" s="6" t="s">
        <v>106</v>
      </c>
      <c r="B3" s="6" t="s">
        <v>107</v>
      </c>
      <c r="C3" s="6" t="s">
        <v>63</v>
      </c>
      <c r="D3" s="6" t="s">
        <v>108</v>
      </c>
      <c r="E3" s="6" t="s">
        <v>109</v>
      </c>
    </row>
    <row r="4" customFormat="false" ht="15" hidden="false" customHeight="false" outlineLevel="0" collapsed="false">
      <c r="A4" s="28" t="s">
        <v>110</v>
      </c>
      <c r="B4" s="29"/>
      <c r="C4" s="29"/>
      <c r="D4" s="29"/>
      <c r="E4" s="29"/>
    </row>
    <row r="5" customFormat="false" ht="15" hidden="false" customHeight="false" outlineLevel="0" collapsed="false">
      <c r="A5" s="8" t="s">
        <v>111</v>
      </c>
      <c r="B5" s="8" t="s">
        <v>112</v>
      </c>
      <c r="C5" s="8" t="s">
        <v>113</v>
      </c>
      <c r="D5" s="30" t="n">
        <v>350</v>
      </c>
      <c r="E5" s="25" t="s">
        <v>114</v>
      </c>
    </row>
    <row r="6" customFormat="false" ht="15" hidden="false" customHeight="false" outlineLevel="0" collapsed="false">
      <c r="A6" s="8" t="s">
        <v>115</v>
      </c>
      <c r="B6" s="8" t="s">
        <v>116</v>
      </c>
      <c r="C6" s="8" t="s">
        <v>92</v>
      </c>
      <c r="D6" s="30" t="n">
        <v>3.5</v>
      </c>
      <c r="E6" s="25" t="s">
        <v>117</v>
      </c>
    </row>
    <row r="7" customFormat="false" ht="15" hidden="false" customHeight="false" outlineLevel="0" collapsed="false">
      <c r="A7" s="8" t="s">
        <v>118</v>
      </c>
      <c r="B7" s="8" t="s">
        <v>119</v>
      </c>
      <c r="C7" s="8" t="s">
        <v>92</v>
      </c>
      <c r="D7" s="30" t="n">
        <v>14</v>
      </c>
      <c r="E7" s="25" t="s">
        <v>120</v>
      </c>
    </row>
    <row r="8" customFormat="false" ht="15" hidden="false" customHeight="false" outlineLevel="0" collapsed="false">
      <c r="A8" s="8" t="s">
        <v>121</v>
      </c>
      <c r="B8" s="8" t="s">
        <v>122</v>
      </c>
      <c r="C8" s="8" t="s">
        <v>123</v>
      </c>
      <c r="D8" s="30" t="n">
        <v>11</v>
      </c>
      <c r="E8" s="25" t="s">
        <v>124</v>
      </c>
    </row>
    <row r="9" customFormat="false" ht="15" hidden="false" customHeight="false" outlineLevel="0" collapsed="false">
      <c r="A9" s="8" t="s">
        <v>125</v>
      </c>
      <c r="B9" s="8" t="s">
        <v>126</v>
      </c>
      <c r="C9" s="8" t="s">
        <v>92</v>
      </c>
      <c r="D9" s="30" t="n">
        <v>32</v>
      </c>
      <c r="E9" s="25" t="s">
        <v>127</v>
      </c>
    </row>
    <row r="10" customFormat="false" ht="15" hidden="false" customHeight="false" outlineLevel="0" collapsed="false">
      <c r="A10" s="8" t="s">
        <v>128</v>
      </c>
      <c r="B10" s="8" t="s">
        <v>129</v>
      </c>
      <c r="C10" s="8" t="s">
        <v>123</v>
      </c>
      <c r="D10" s="30" t="n">
        <v>18</v>
      </c>
      <c r="E10" s="25" t="s">
        <v>130</v>
      </c>
    </row>
    <row r="11" customFormat="false" ht="15" hidden="false" customHeight="false" outlineLevel="0" collapsed="false">
      <c r="A11" s="8" t="s">
        <v>131</v>
      </c>
      <c r="B11" s="8" t="s">
        <v>132</v>
      </c>
      <c r="C11" s="8" t="s">
        <v>92</v>
      </c>
      <c r="D11" s="30" t="n">
        <v>4</v>
      </c>
      <c r="E11" s="25" t="s">
        <v>133</v>
      </c>
    </row>
    <row r="12" customFormat="false" ht="15" hidden="false" customHeight="false" outlineLevel="0" collapsed="false">
      <c r="A12" s="8" t="s">
        <v>134</v>
      </c>
      <c r="B12" s="8" t="s">
        <v>135</v>
      </c>
      <c r="C12" s="8" t="s">
        <v>92</v>
      </c>
      <c r="D12" s="30" t="n">
        <v>16</v>
      </c>
      <c r="E12" s="25" t="s">
        <v>136</v>
      </c>
    </row>
    <row r="13" customFormat="false" ht="15" hidden="false" customHeight="false" outlineLevel="0" collapsed="false">
      <c r="A13" s="8" t="s">
        <v>137</v>
      </c>
      <c r="B13" s="8" t="s">
        <v>138</v>
      </c>
      <c r="C13" s="8" t="s">
        <v>73</v>
      </c>
      <c r="D13" s="30" t="n">
        <v>10</v>
      </c>
      <c r="E13" s="25" t="s">
        <v>139</v>
      </c>
    </row>
    <row r="14" customFormat="false" ht="15" hidden="false" customHeight="false" outlineLevel="0" collapsed="false">
      <c r="A14" s="8" t="s">
        <v>140</v>
      </c>
      <c r="B14" s="8" t="s">
        <v>141</v>
      </c>
      <c r="C14" s="8" t="s">
        <v>92</v>
      </c>
      <c r="D14" s="30" t="n">
        <v>3</v>
      </c>
      <c r="E14" s="25" t="s">
        <v>142</v>
      </c>
    </row>
    <row r="15" customFormat="false" ht="15" hidden="false" customHeight="false" outlineLevel="0" collapsed="false">
      <c r="A15" s="8" t="s">
        <v>143</v>
      </c>
      <c r="B15" s="8" t="s">
        <v>144</v>
      </c>
      <c r="C15" s="8" t="s">
        <v>73</v>
      </c>
      <c r="D15" s="30" t="n">
        <v>380</v>
      </c>
      <c r="E15" s="25" t="s">
        <v>145</v>
      </c>
    </row>
    <row r="16" customFormat="false" ht="15" hidden="false" customHeight="false" outlineLevel="0" collapsed="false">
      <c r="A16" s="8" t="s">
        <v>146</v>
      </c>
      <c r="B16" s="8" t="s">
        <v>147</v>
      </c>
      <c r="C16" s="8" t="s">
        <v>113</v>
      </c>
      <c r="D16" s="30" t="n">
        <v>6500</v>
      </c>
      <c r="E16" s="25" t="s">
        <v>148</v>
      </c>
    </row>
    <row r="17" customFormat="false" ht="15" hidden="false" customHeight="false" outlineLevel="0" collapsed="false">
      <c r="A17" s="8" t="s">
        <v>149</v>
      </c>
      <c r="B17" s="8" t="s">
        <v>150</v>
      </c>
      <c r="C17" s="8" t="s">
        <v>113</v>
      </c>
      <c r="D17" s="30" t="n">
        <v>3000</v>
      </c>
      <c r="E17" s="25" t="s">
        <v>151</v>
      </c>
    </row>
    <row r="18" customFormat="false" ht="15" hidden="false" customHeight="false" outlineLevel="0" collapsed="false">
      <c r="A18" s="8" t="s">
        <v>152</v>
      </c>
      <c r="B18" s="8" t="s">
        <v>153</v>
      </c>
      <c r="C18" s="8" t="s">
        <v>113</v>
      </c>
      <c r="D18" s="30" t="n">
        <v>1200</v>
      </c>
      <c r="E18" s="25" t="s">
        <v>154</v>
      </c>
    </row>
    <row r="19" customFormat="false" ht="15" hidden="false" customHeight="false" outlineLevel="0" collapsed="false">
      <c r="A19" s="8" t="s">
        <v>155</v>
      </c>
      <c r="B19" s="8" t="s">
        <v>156</v>
      </c>
      <c r="C19" s="8" t="s">
        <v>123</v>
      </c>
      <c r="D19" s="30" t="n">
        <v>28</v>
      </c>
      <c r="E19" s="25" t="s">
        <v>157</v>
      </c>
    </row>
    <row r="20" customFormat="false" ht="15" hidden="false" customHeight="false" outlineLevel="0" collapsed="false">
      <c r="A20" s="8" t="s">
        <v>158</v>
      </c>
      <c r="B20" s="8" t="s">
        <v>159</v>
      </c>
      <c r="C20" s="8" t="s">
        <v>73</v>
      </c>
      <c r="D20" s="30" t="n">
        <v>450</v>
      </c>
      <c r="E20" s="25" t="s">
        <v>160</v>
      </c>
    </row>
    <row r="21" customFormat="false" ht="15" hidden="false" customHeight="false" outlineLevel="0" collapsed="false">
      <c r="A21" s="28" t="s">
        <v>161</v>
      </c>
      <c r="B21" s="29"/>
      <c r="C21" s="29"/>
      <c r="D21" s="29"/>
      <c r="E21" s="29"/>
    </row>
    <row r="22" customFormat="false" ht="15" hidden="false" customHeight="false" outlineLevel="0" collapsed="false">
      <c r="A22" s="8" t="s">
        <v>162</v>
      </c>
      <c r="B22" s="8" t="s">
        <v>163</v>
      </c>
      <c r="C22" s="8" t="s">
        <v>73</v>
      </c>
      <c r="D22" s="30" t="n">
        <v>4</v>
      </c>
      <c r="E22" s="25" t="s">
        <v>164</v>
      </c>
    </row>
    <row r="23" customFormat="false" ht="15" hidden="false" customHeight="false" outlineLevel="0" collapsed="false">
      <c r="A23" s="8" t="s">
        <v>165</v>
      </c>
      <c r="B23" s="8" t="s">
        <v>166</v>
      </c>
      <c r="C23" s="8" t="s">
        <v>73</v>
      </c>
      <c r="D23" s="30" t="n">
        <v>22</v>
      </c>
      <c r="E23" s="25" t="s">
        <v>167</v>
      </c>
    </row>
    <row r="24" customFormat="false" ht="15" hidden="false" customHeight="false" outlineLevel="0" collapsed="false">
      <c r="A24" s="8" t="s">
        <v>168</v>
      </c>
      <c r="B24" s="8" t="s">
        <v>169</v>
      </c>
      <c r="C24" s="8" t="s">
        <v>73</v>
      </c>
      <c r="D24" s="30" t="n">
        <v>14</v>
      </c>
      <c r="E24" s="25" t="s">
        <v>170</v>
      </c>
    </row>
    <row r="25" customFormat="false" ht="15" hidden="false" customHeight="false" outlineLevel="0" collapsed="false">
      <c r="A25" s="8" t="s">
        <v>171</v>
      </c>
      <c r="B25" s="8" t="s">
        <v>172</v>
      </c>
      <c r="C25" s="8" t="s">
        <v>73</v>
      </c>
      <c r="D25" s="30" t="n">
        <v>2</v>
      </c>
      <c r="E25" s="25"/>
    </row>
    <row r="26" customFormat="false" ht="15" hidden="false" customHeight="false" outlineLevel="0" collapsed="false">
      <c r="A26" s="8" t="s">
        <v>173</v>
      </c>
      <c r="B26" s="8" t="s">
        <v>174</v>
      </c>
      <c r="C26" s="8" t="s">
        <v>73</v>
      </c>
      <c r="D26" s="30" t="n">
        <v>7</v>
      </c>
      <c r="E26" s="25" t="s">
        <v>175</v>
      </c>
    </row>
    <row r="27" customFormat="false" ht="15" hidden="false" customHeight="false" outlineLevel="0" collapsed="false">
      <c r="A27" s="8" t="s">
        <v>176</v>
      </c>
      <c r="B27" s="8" t="s">
        <v>177</v>
      </c>
      <c r="C27" s="8" t="s">
        <v>73</v>
      </c>
      <c r="D27" s="30" t="n">
        <v>38</v>
      </c>
      <c r="E27" s="25" t="s">
        <v>178</v>
      </c>
    </row>
    <row r="28" customFormat="false" ht="15" hidden="false" customHeight="false" outlineLevel="0" collapsed="false">
      <c r="A28" s="8" t="s">
        <v>179</v>
      </c>
      <c r="B28" s="8" t="s">
        <v>180</v>
      </c>
      <c r="C28" s="8" t="s">
        <v>73</v>
      </c>
      <c r="D28" s="30" t="n">
        <v>32</v>
      </c>
      <c r="E28" s="25" t="s">
        <v>181</v>
      </c>
    </row>
    <row r="29" customFormat="false" ht="15" hidden="false" customHeight="false" outlineLevel="0" collapsed="false">
      <c r="A29" s="8" t="s">
        <v>182</v>
      </c>
      <c r="B29" s="8" t="s">
        <v>183</v>
      </c>
      <c r="C29" s="8" t="s">
        <v>73</v>
      </c>
      <c r="D29" s="30" t="n">
        <v>30</v>
      </c>
      <c r="E29" s="25" t="s">
        <v>184</v>
      </c>
    </row>
    <row r="30" customFormat="false" ht="15" hidden="false" customHeight="false" outlineLevel="0" collapsed="false">
      <c r="A30" s="8" t="s">
        <v>185</v>
      </c>
      <c r="B30" s="8" t="s">
        <v>186</v>
      </c>
      <c r="C30" s="8" t="s">
        <v>73</v>
      </c>
      <c r="D30" s="30" t="n">
        <v>16</v>
      </c>
      <c r="E30" s="25" t="s">
        <v>187</v>
      </c>
    </row>
    <row r="31" customFormat="false" ht="15" hidden="false" customHeight="false" outlineLevel="0" collapsed="false">
      <c r="A31" s="8" t="s">
        <v>188</v>
      </c>
      <c r="B31" s="8" t="s">
        <v>189</v>
      </c>
      <c r="C31" s="8" t="s">
        <v>73</v>
      </c>
      <c r="D31" s="30" t="n">
        <v>38</v>
      </c>
      <c r="E31" s="25" t="s">
        <v>190</v>
      </c>
    </row>
    <row r="32" customFormat="false" ht="15" hidden="false" customHeight="false" outlineLevel="0" collapsed="false">
      <c r="A32" s="8" t="s">
        <v>191</v>
      </c>
      <c r="B32" s="8" t="s">
        <v>192</v>
      </c>
      <c r="C32" s="8" t="s">
        <v>73</v>
      </c>
      <c r="D32" s="30" t="n">
        <v>2</v>
      </c>
      <c r="E32" s="25" t="s">
        <v>193</v>
      </c>
    </row>
    <row r="33" customFormat="false" ht="15" hidden="false" customHeight="false" outlineLevel="0" collapsed="false">
      <c r="A33" s="8" t="s">
        <v>194</v>
      </c>
      <c r="B33" s="8" t="s">
        <v>195</v>
      </c>
      <c r="C33" s="8" t="s">
        <v>73</v>
      </c>
      <c r="D33" s="30" t="n">
        <v>8</v>
      </c>
      <c r="E33" s="25" t="s">
        <v>196</v>
      </c>
    </row>
    <row r="34" customFormat="false" ht="15" hidden="false" customHeight="false" outlineLevel="0" collapsed="false">
      <c r="A34" s="8" t="s">
        <v>197</v>
      </c>
      <c r="B34" s="8" t="s">
        <v>198</v>
      </c>
      <c r="C34" s="8" t="s">
        <v>73</v>
      </c>
      <c r="D34" s="30" t="n">
        <v>6</v>
      </c>
      <c r="E34" s="25" t="s">
        <v>199</v>
      </c>
    </row>
    <row r="35" customFormat="false" ht="15" hidden="false" customHeight="false" outlineLevel="0" collapsed="false">
      <c r="A35" s="8" t="s">
        <v>200</v>
      </c>
      <c r="B35" s="8" t="s">
        <v>201</v>
      </c>
      <c r="C35" s="8" t="s">
        <v>73</v>
      </c>
      <c r="D35" s="30" t="n">
        <v>95</v>
      </c>
      <c r="E35" s="25" t="s">
        <v>202</v>
      </c>
    </row>
    <row r="36" customFormat="false" ht="15" hidden="false" customHeight="false" outlineLevel="0" collapsed="false">
      <c r="A36" s="8" t="s">
        <v>203</v>
      </c>
      <c r="B36" s="8" t="s">
        <v>204</v>
      </c>
      <c r="C36" s="8" t="s">
        <v>73</v>
      </c>
      <c r="D36" s="30" t="n">
        <v>60</v>
      </c>
      <c r="E36" s="25" t="s">
        <v>205</v>
      </c>
    </row>
    <row r="37" customFormat="false" ht="15" hidden="false" customHeight="false" outlineLevel="0" collapsed="false">
      <c r="A37" s="8" t="s">
        <v>206</v>
      </c>
      <c r="B37" s="8" t="s">
        <v>207</v>
      </c>
      <c r="C37" s="8" t="s">
        <v>73</v>
      </c>
      <c r="D37" s="30" t="n">
        <v>15</v>
      </c>
      <c r="E37" s="25" t="s">
        <v>208</v>
      </c>
    </row>
    <row r="38" customFormat="false" ht="15" hidden="false" customHeight="false" outlineLevel="0" collapsed="false">
      <c r="A38" s="8" t="s">
        <v>209</v>
      </c>
      <c r="B38" s="8" t="s">
        <v>210</v>
      </c>
      <c r="C38" s="8" t="s">
        <v>73</v>
      </c>
      <c r="D38" s="30" t="n">
        <v>20</v>
      </c>
      <c r="E38" s="25" t="s">
        <v>211</v>
      </c>
    </row>
    <row r="39" customFormat="false" ht="15" hidden="false" customHeight="false" outlineLevel="0" collapsed="false">
      <c r="A39" s="8" t="s">
        <v>212</v>
      </c>
      <c r="B39" s="8" t="s">
        <v>213</v>
      </c>
      <c r="C39" s="8" t="s">
        <v>73</v>
      </c>
      <c r="D39" s="30" t="n">
        <v>10</v>
      </c>
      <c r="E39" s="25" t="s">
        <v>214</v>
      </c>
    </row>
    <row r="40" customFormat="false" ht="15" hidden="false" customHeight="false" outlineLevel="0" collapsed="false">
      <c r="A40" s="8" t="s">
        <v>215</v>
      </c>
      <c r="B40" s="8" t="s">
        <v>216</v>
      </c>
      <c r="C40" s="8" t="s">
        <v>73</v>
      </c>
      <c r="D40" s="30" t="n">
        <v>3</v>
      </c>
      <c r="E40" s="25" t="s">
        <v>217</v>
      </c>
    </row>
    <row r="42" customFormat="false" ht="15" hidden="false" customHeight="false" outlineLevel="0" collapsed="false">
      <c r="B42" s="5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8" min="4" style="0" width="13"/>
    <col collapsed="false" customWidth="true" hidden="false" outlineLevel="0" max="9" min="9" style="0" width="3"/>
    <col collapsed="false" customWidth="true" hidden="false" outlineLevel="0" max="14" min="10" style="0" width="14"/>
    <col collapsed="false" customWidth="true" hidden="false" outlineLevel="0" max="15" min="15" style="0" width="15"/>
  </cols>
  <sheetData>
    <row r="1" customFormat="false" ht="17.35" hidden="false" customHeight="false" outlineLevel="0" collapsed="false">
      <c r="A1" s="4" t="s">
        <v>219</v>
      </c>
    </row>
    <row r="2" customFormat="false" ht="15" hidden="false" customHeight="false" outlineLevel="0" collapsed="false">
      <c r="D2" s="31" t="s">
        <v>220</v>
      </c>
      <c r="J2" s="31" t="s">
        <v>221</v>
      </c>
    </row>
    <row r="3" customFormat="false" ht="43.5" hidden="false" customHeight="true" outlineLevel="0" collapsed="false">
      <c r="A3" s="6" t="s">
        <v>107</v>
      </c>
      <c r="B3" s="6" t="s">
        <v>63</v>
      </c>
      <c r="C3" s="6" t="s">
        <v>222</v>
      </c>
      <c r="D3" s="6" t="s">
        <v>223</v>
      </c>
      <c r="E3" s="6" t="s">
        <v>224</v>
      </c>
      <c r="F3" s="6" t="s">
        <v>225</v>
      </c>
      <c r="G3" s="6" t="s">
        <v>225</v>
      </c>
      <c r="H3" s="6" t="s">
        <v>226</v>
      </c>
      <c r="I3" s="6"/>
      <c r="J3" s="6" t="s">
        <v>227</v>
      </c>
      <c r="K3" s="6" t="s">
        <v>228</v>
      </c>
      <c r="L3" s="6" t="s">
        <v>229</v>
      </c>
      <c r="M3" s="6" t="s">
        <v>229</v>
      </c>
      <c r="N3" s="6" t="s">
        <v>230</v>
      </c>
      <c r="O3" s="6" t="s">
        <v>231</v>
      </c>
    </row>
    <row r="4" customFormat="false" ht="15" hidden="false" customHeight="false" outlineLevel="0" collapsed="false">
      <c r="A4" s="8" t="s">
        <v>112</v>
      </c>
      <c r="B4" s="8" t="s">
        <v>113</v>
      </c>
      <c r="C4" s="9" t="n">
        <f aca="false">'Custos Unitários'!$D$5</f>
        <v>350</v>
      </c>
      <c r="D4" s="32" t="n">
        <v>1</v>
      </c>
      <c r="E4" s="32" t="n">
        <v>1</v>
      </c>
      <c r="F4" s="32" t="n">
        <v>1</v>
      </c>
      <c r="G4" s="32" t="n">
        <v>1</v>
      </c>
      <c r="H4" s="32" t="n">
        <v>1</v>
      </c>
      <c r="J4" s="16" t="n">
        <f aca="false">$C4*D4</f>
        <v>350</v>
      </c>
      <c r="K4" s="16" t="n">
        <f aca="false">$C4*E4</f>
        <v>350</v>
      </c>
      <c r="L4" s="16" t="n">
        <f aca="false">$C4*F4</f>
        <v>350</v>
      </c>
      <c r="M4" s="16" t="n">
        <f aca="false">$C4*G4</f>
        <v>350</v>
      </c>
      <c r="N4" s="16" t="n">
        <f aca="false">$C4*H4</f>
        <v>350</v>
      </c>
      <c r="O4" s="17" t="n">
        <f aca="false">SUM(J4:N4)</f>
        <v>1750</v>
      </c>
    </row>
    <row r="5" customFormat="false" ht="15" hidden="false" customHeight="false" outlineLevel="0" collapsed="false">
      <c r="A5" s="8" t="s">
        <v>116</v>
      </c>
      <c r="B5" s="8" t="s">
        <v>92</v>
      </c>
      <c r="C5" s="9" t="n">
        <f aca="false">'Custos Unitários'!$D$6</f>
        <v>3.5</v>
      </c>
      <c r="D5" s="33" t="n">
        <f aca="false">Premissas!$C$17</f>
        <v>300</v>
      </c>
      <c r="E5" s="33" t="n">
        <f aca="false">Premissas!$D$17</f>
        <v>600</v>
      </c>
      <c r="F5" s="33" t="n">
        <f aca="false">Premissas!$E$17</f>
        <v>800</v>
      </c>
      <c r="G5" s="33" t="n">
        <f aca="false">Premissas!$F$17</f>
        <v>500</v>
      </c>
      <c r="H5" s="33" t="n">
        <f aca="false">Premissas!$G$17</f>
        <v>400</v>
      </c>
      <c r="J5" s="16" t="n">
        <f aca="false">$C5*D5</f>
        <v>1050</v>
      </c>
      <c r="K5" s="16" t="n">
        <f aca="false">$C5*E5</f>
        <v>2100</v>
      </c>
      <c r="L5" s="16" t="n">
        <f aca="false">$C5*F5</f>
        <v>2800</v>
      </c>
      <c r="M5" s="16" t="n">
        <f aca="false">$C5*G5</f>
        <v>1750</v>
      </c>
      <c r="N5" s="16" t="n">
        <f aca="false">$C5*H5</f>
        <v>1400</v>
      </c>
      <c r="O5" s="17" t="n">
        <f aca="false">SUM(J5:N5)</f>
        <v>9100</v>
      </c>
    </row>
    <row r="6" customFormat="false" ht="15" hidden="false" customHeight="false" outlineLevel="0" collapsed="false">
      <c r="A6" s="8" t="s">
        <v>119</v>
      </c>
      <c r="B6" s="8" t="s">
        <v>92</v>
      </c>
      <c r="C6" s="9" t="n">
        <f aca="false">'Custos Unitários'!$D$7</f>
        <v>14</v>
      </c>
      <c r="D6" s="32" t="n">
        <v>0</v>
      </c>
      <c r="E6" s="33" t="n">
        <f aca="false">Premissas!$D$18*Premissas!$D$19</f>
        <v>96</v>
      </c>
      <c r="F6" s="33" t="n">
        <f aca="false">Premissas!$E$18*Premissas!$E$19</f>
        <v>120</v>
      </c>
      <c r="G6" s="33" t="n">
        <f aca="false">Premissas!$F$18*Premissas!$F$19</f>
        <v>72</v>
      </c>
      <c r="H6" s="33" t="n">
        <f aca="false">Premissas!$G$18*Premissas!$G$19</f>
        <v>60</v>
      </c>
      <c r="J6" s="16" t="n">
        <f aca="false">$C6*D6</f>
        <v>0</v>
      </c>
      <c r="K6" s="16" t="n">
        <f aca="false">$C6*E6</f>
        <v>1344</v>
      </c>
      <c r="L6" s="16" t="n">
        <f aca="false">$C6*F6</f>
        <v>1680</v>
      </c>
      <c r="M6" s="16" t="n">
        <f aca="false">$C6*G6</f>
        <v>1008</v>
      </c>
      <c r="N6" s="16" t="n">
        <f aca="false">$C6*H6</f>
        <v>840</v>
      </c>
      <c r="O6" s="17" t="n">
        <f aca="false">SUM(J6:N6)</f>
        <v>4872</v>
      </c>
    </row>
    <row r="7" customFormat="false" ht="15" hidden="false" customHeight="false" outlineLevel="0" collapsed="false">
      <c r="A7" s="8" t="s">
        <v>122</v>
      </c>
      <c r="B7" s="8" t="s">
        <v>123</v>
      </c>
      <c r="C7" s="9" t="n">
        <f aca="false">'Custos Unitários'!$D$8</f>
        <v>11</v>
      </c>
      <c r="D7" s="33" t="n">
        <f aca="false">Premissas!$C$18</f>
        <v>60</v>
      </c>
      <c r="E7" s="33" t="n">
        <f aca="false">2*Premissas!$D$18</f>
        <v>160</v>
      </c>
      <c r="F7" s="33" t="n">
        <f aca="false">2*Premissas!$E$18</f>
        <v>200</v>
      </c>
      <c r="G7" s="33" t="n">
        <f aca="false">2*Premissas!$F$18</f>
        <v>120</v>
      </c>
      <c r="H7" s="33" t="n">
        <f aca="false">2*Premissas!$G$18</f>
        <v>100</v>
      </c>
      <c r="J7" s="16" t="n">
        <f aca="false">$C7*D7</f>
        <v>660</v>
      </c>
      <c r="K7" s="16" t="n">
        <f aca="false">$C7*E7</f>
        <v>1760</v>
      </c>
      <c r="L7" s="16" t="n">
        <f aca="false">$C7*F7</f>
        <v>2200</v>
      </c>
      <c r="M7" s="16" t="n">
        <f aca="false">$C7*G7</f>
        <v>1320</v>
      </c>
      <c r="N7" s="16" t="n">
        <f aca="false">$C7*H7</f>
        <v>1100</v>
      </c>
      <c r="O7" s="17" t="n">
        <f aca="false">SUM(J7:N7)</f>
        <v>7040</v>
      </c>
    </row>
    <row r="8" customFormat="false" ht="15" hidden="false" customHeight="false" outlineLevel="0" collapsed="false">
      <c r="A8" s="8" t="s">
        <v>126</v>
      </c>
      <c r="B8" s="8" t="s">
        <v>92</v>
      </c>
      <c r="C8" s="9" t="n">
        <f aca="false">'Custos Unitários'!$D$9</f>
        <v>32</v>
      </c>
      <c r="D8" s="33" t="n">
        <f aca="false">Premissas!$C$18*Premissas!$C$19</f>
        <v>60</v>
      </c>
      <c r="E8" s="32" t="n">
        <v>0</v>
      </c>
      <c r="F8" s="32" t="n">
        <v>0</v>
      </c>
      <c r="G8" s="32" t="n">
        <v>0</v>
      </c>
      <c r="H8" s="32" t="n">
        <v>0</v>
      </c>
      <c r="J8" s="16" t="n">
        <f aca="false">$C8*D8</f>
        <v>1920</v>
      </c>
      <c r="K8" s="16" t="n">
        <f aca="false">$C8*E8</f>
        <v>0</v>
      </c>
      <c r="L8" s="16" t="n">
        <f aca="false">$C8*F8</f>
        <v>0</v>
      </c>
      <c r="M8" s="16" t="n">
        <f aca="false">$C8*G8</f>
        <v>0</v>
      </c>
      <c r="N8" s="16" t="n">
        <f aca="false">$C8*H8</f>
        <v>0</v>
      </c>
      <c r="O8" s="17" t="n">
        <f aca="false">SUM(J8:N8)</f>
        <v>1920</v>
      </c>
    </row>
    <row r="9" customFormat="false" ht="15" hidden="false" customHeight="false" outlineLevel="0" collapsed="false">
      <c r="A9" s="8" t="s">
        <v>129</v>
      </c>
      <c r="B9" s="8" t="s">
        <v>123</v>
      </c>
      <c r="C9" s="9" t="n">
        <f aca="false">'Custos Unitários'!$D$10</f>
        <v>18</v>
      </c>
      <c r="D9" s="32" t="n">
        <v>120</v>
      </c>
      <c r="E9" s="32" t="n">
        <v>0</v>
      </c>
      <c r="F9" s="32" t="n">
        <v>0</v>
      </c>
      <c r="G9" s="32" t="n">
        <v>0</v>
      </c>
      <c r="H9" s="32" t="n">
        <v>0</v>
      </c>
      <c r="J9" s="16" t="n">
        <f aca="false">$C9*D9</f>
        <v>2160</v>
      </c>
      <c r="K9" s="16" t="n">
        <f aca="false">$C9*E9</f>
        <v>0</v>
      </c>
      <c r="L9" s="16" t="n">
        <f aca="false">$C9*F9</f>
        <v>0</v>
      </c>
      <c r="M9" s="16" t="n">
        <f aca="false">$C9*G9</f>
        <v>0</v>
      </c>
      <c r="N9" s="16" t="n">
        <f aca="false">$C9*H9</f>
        <v>0</v>
      </c>
      <c r="O9" s="17" t="n">
        <f aca="false">SUM(J9:N9)</f>
        <v>2160</v>
      </c>
    </row>
    <row r="10" customFormat="false" ht="15" hidden="false" customHeight="false" outlineLevel="0" collapsed="false">
      <c r="A10" s="8" t="s">
        <v>132</v>
      </c>
      <c r="B10" s="8" t="s">
        <v>92</v>
      </c>
      <c r="C10" s="9" t="n">
        <f aca="false">'Custos Unitários'!$D$11</f>
        <v>4</v>
      </c>
      <c r="D10" s="33" t="n">
        <f aca="false">Premissas!$C$20</f>
        <v>200</v>
      </c>
      <c r="E10" s="33" t="n">
        <f aca="false">Premissas!$D$20</f>
        <v>400</v>
      </c>
      <c r="F10" s="33" t="n">
        <f aca="false">Premissas!$E$20</f>
        <v>500</v>
      </c>
      <c r="G10" s="33" t="n">
        <f aca="false">Premissas!$F$20</f>
        <v>250</v>
      </c>
      <c r="H10" s="33" t="n">
        <f aca="false">Premissas!$G$20</f>
        <v>250</v>
      </c>
      <c r="J10" s="16" t="n">
        <f aca="false">$C10*D10</f>
        <v>800</v>
      </c>
      <c r="K10" s="16" t="n">
        <f aca="false">$C10*E10</f>
        <v>1600</v>
      </c>
      <c r="L10" s="16" t="n">
        <f aca="false">$C10*F10</f>
        <v>2000</v>
      </c>
      <c r="M10" s="16" t="n">
        <f aca="false">$C10*G10</f>
        <v>1000</v>
      </c>
      <c r="N10" s="16" t="n">
        <f aca="false">$C10*H10</f>
        <v>1000</v>
      </c>
      <c r="O10" s="17" t="n">
        <f aca="false">SUM(J10:N10)</f>
        <v>6400</v>
      </c>
    </row>
    <row r="11" customFormat="false" ht="15" hidden="false" customHeight="false" outlineLevel="0" collapsed="false">
      <c r="A11" s="8" t="s">
        <v>135</v>
      </c>
      <c r="B11" s="8" t="s">
        <v>92</v>
      </c>
      <c r="C11" s="9" t="n">
        <f aca="false">'Custos Unitários'!$D$12</f>
        <v>16</v>
      </c>
      <c r="D11" s="33" t="n">
        <f aca="false">Premissas!$C$20</f>
        <v>200</v>
      </c>
      <c r="E11" s="33" t="n">
        <f aca="false">Premissas!$D$20</f>
        <v>400</v>
      </c>
      <c r="F11" s="33" t="n">
        <f aca="false">Premissas!$E$20</f>
        <v>500</v>
      </c>
      <c r="G11" s="33" t="n">
        <f aca="false">Premissas!$F$20</f>
        <v>250</v>
      </c>
      <c r="H11" s="33" t="n">
        <f aca="false">Premissas!$G$20</f>
        <v>250</v>
      </c>
      <c r="J11" s="16" t="n">
        <f aca="false">$C11*D11</f>
        <v>3200</v>
      </c>
      <c r="K11" s="16" t="n">
        <f aca="false">$C11*E11</f>
        <v>6400</v>
      </c>
      <c r="L11" s="16" t="n">
        <f aca="false">$C11*F11</f>
        <v>8000</v>
      </c>
      <c r="M11" s="16" t="n">
        <f aca="false">$C11*G11</f>
        <v>4000</v>
      </c>
      <c r="N11" s="16" t="n">
        <f aca="false">$C11*H11</f>
        <v>4000</v>
      </c>
      <c r="O11" s="17" t="n">
        <f aca="false">SUM(J11:N11)</f>
        <v>25600</v>
      </c>
    </row>
    <row r="12" customFormat="false" ht="15" hidden="false" customHeight="false" outlineLevel="0" collapsed="false">
      <c r="A12" s="8" t="s">
        <v>138</v>
      </c>
      <c r="B12" s="8" t="s">
        <v>73</v>
      </c>
      <c r="C12" s="9" t="n">
        <f aca="false">'Custos Unitários'!$D$13</f>
        <v>10</v>
      </c>
      <c r="D12" s="32" t="n">
        <v>0</v>
      </c>
      <c r="E12" s="32" t="n">
        <v>0</v>
      </c>
      <c r="F12" s="32" t="n">
        <v>0</v>
      </c>
      <c r="G12" s="32" t="n">
        <v>100</v>
      </c>
      <c r="H12" s="32" t="n">
        <v>0</v>
      </c>
      <c r="J12" s="16" t="n">
        <f aca="false">$C12*D12</f>
        <v>0</v>
      </c>
      <c r="K12" s="16" t="n">
        <f aca="false">$C12*E12</f>
        <v>0</v>
      </c>
      <c r="L12" s="16" t="n">
        <f aca="false">$C12*F12</f>
        <v>0</v>
      </c>
      <c r="M12" s="16" t="n">
        <f aca="false">$C12*G12</f>
        <v>1000</v>
      </c>
      <c r="N12" s="16" t="n">
        <f aca="false">$C12*H12</f>
        <v>0</v>
      </c>
      <c r="O12" s="17" t="n">
        <f aca="false">SUM(J12:N12)</f>
        <v>1000</v>
      </c>
    </row>
    <row r="13" customFormat="false" ht="15" hidden="false" customHeight="false" outlineLevel="0" collapsed="false">
      <c r="A13" s="8" t="s">
        <v>141</v>
      </c>
      <c r="B13" s="8" t="s">
        <v>92</v>
      </c>
      <c r="C13" s="9" t="n">
        <f aca="false">'Custos Unitários'!$D$14</f>
        <v>3</v>
      </c>
      <c r="D13" s="33" t="n">
        <f aca="false">Premissas!$C$20</f>
        <v>200</v>
      </c>
      <c r="E13" s="33" t="n">
        <f aca="false">Premissas!$D$20</f>
        <v>400</v>
      </c>
      <c r="F13" s="33" t="n">
        <f aca="false">Premissas!$E$20</f>
        <v>500</v>
      </c>
      <c r="G13" s="33" t="n">
        <f aca="false">Premissas!$F$20</f>
        <v>250</v>
      </c>
      <c r="H13" s="33" t="n">
        <f aca="false">Premissas!$G$20</f>
        <v>250</v>
      </c>
      <c r="J13" s="16" t="n">
        <f aca="false">$C13*D13</f>
        <v>600</v>
      </c>
      <c r="K13" s="16" t="n">
        <f aca="false">$C13*E13</f>
        <v>1200</v>
      </c>
      <c r="L13" s="16" t="n">
        <f aca="false">$C13*F13</f>
        <v>1500</v>
      </c>
      <c r="M13" s="16" t="n">
        <f aca="false">$C13*G13</f>
        <v>750</v>
      </c>
      <c r="N13" s="16" t="n">
        <f aca="false">$C13*H13</f>
        <v>750</v>
      </c>
      <c r="O13" s="17" t="n">
        <f aca="false">SUM(J13:N13)</f>
        <v>4800</v>
      </c>
    </row>
    <row r="14" customFormat="false" ht="15" hidden="false" customHeight="false" outlineLevel="0" collapsed="false">
      <c r="A14" s="8" t="s">
        <v>144</v>
      </c>
      <c r="B14" s="8" t="s">
        <v>73</v>
      </c>
      <c r="C14" s="9" t="n">
        <f aca="false">'Custos Unitários'!$D$15</f>
        <v>380</v>
      </c>
      <c r="D14" s="32" t="n">
        <v>0</v>
      </c>
      <c r="E14" s="32" t="n">
        <v>2</v>
      </c>
      <c r="F14" s="32" t="n">
        <v>2</v>
      </c>
      <c r="G14" s="32" t="n">
        <v>1</v>
      </c>
      <c r="H14" s="32" t="n">
        <v>2</v>
      </c>
      <c r="J14" s="16" t="n">
        <f aca="false">$C14*D14</f>
        <v>0</v>
      </c>
      <c r="K14" s="16" t="n">
        <f aca="false">$C14*E14</f>
        <v>760</v>
      </c>
      <c r="L14" s="16" t="n">
        <f aca="false">$C14*F14</f>
        <v>760</v>
      </c>
      <c r="M14" s="16" t="n">
        <f aca="false">$C14*G14</f>
        <v>380</v>
      </c>
      <c r="N14" s="16" t="n">
        <f aca="false">$C14*H14</f>
        <v>760</v>
      </c>
      <c r="O14" s="17" t="n">
        <f aca="false">SUM(J14:N14)</f>
        <v>2660</v>
      </c>
    </row>
    <row r="15" customFormat="false" ht="15" hidden="false" customHeight="false" outlineLevel="0" collapsed="false">
      <c r="A15" s="8" t="s">
        <v>147</v>
      </c>
      <c r="B15" s="8" t="s">
        <v>113</v>
      </c>
      <c r="C15" s="9" t="n">
        <f aca="false">'Custos Unitários'!$D$16</f>
        <v>6500</v>
      </c>
      <c r="D15" s="32" t="n">
        <v>0</v>
      </c>
      <c r="E15" s="32" t="n">
        <v>0</v>
      </c>
      <c r="F15" s="32" t="n">
        <v>1</v>
      </c>
      <c r="G15" s="32" t="n">
        <v>0</v>
      </c>
      <c r="H15" s="32" t="n">
        <v>0</v>
      </c>
      <c r="J15" s="16" t="n">
        <f aca="false">$C15*D15</f>
        <v>0</v>
      </c>
      <c r="K15" s="16" t="n">
        <f aca="false">$C15*E15</f>
        <v>0</v>
      </c>
      <c r="L15" s="16" t="n">
        <f aca="false">$C15*F15</f>
        <v>6500</v>
      </c>
      <c r="M15" s="16" t="n">
        <f aca="false">$C15*G15</f>
        <v>0</v>
      </c>
      <c r="N15" s="16" t="n">
        <f aca="false">$C15*H15</f>
        <v>0</v>
      </c>
      <c r="O15" s="17" t="n">
        <f aca="false">SUM(J15:N15)</f>
        <v>6500</v>
      </c>
    </row>
    <row r="16" customFormat="false" ht="15" hidden="false" customHeight="false" outlineLevel="0" collapsed="false">
      <c r="A16" s="8" t="s">
        <v>150</v>
      </c>
      <c r="B16" s="8" t="s">
        <v>113</v>
      </c>
      <c r="C16" s="9" t="n">
        <f aca="false">'Custos Unitários'!$D$17</f>
        <v>3000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1</v>
      </c>
      <c r="J16" s="16" t="n">
        <f aca="false">$C16*D16</f>
        <v>0</v>
      </c>
      <c r="K16" s="16" t="n">
        <f aca="false">$C16*E16</f>
        <v>0</v>
      </c>
      <c r="L16" s="16" t="n">
        <f aca="false">$C16*F16</f>
        <v>0</v>
      </c>
      <c r="M16" s="16" t="n">
        <f aca="false">$C16*G16</f>
        <v>0</v>
      </c>
      <c r="N16" s="16" t="n">
        <f aca="false">$C16*H16</f>
        <v>3000</v>
      </c>
      <c r="O16" s="17" t="n">
        <f aca="false">SUM(J16:N16)</f>
        <v>3000</v>
      </c>
    </row>
    <row r="17" customFormat="false" ht="15" hidden="false" customHeight="false" outlineLevel="0" collapsed="false">
      <c r="A17" s="8" t="s">
        <v>153</v>
      </c>
      <c r="B17" s="8" t="s">
        <v>113</v>
      </c>
      <c r="C17" s="9" t="n">
        <f aca="false">'Custos Unitários'!$D$18</f>
        <v>1200</v>
      </c>
      <c r="D17" s="32" t="n">
        <v>0</v>
      </c>
      <c r="E17" s="32" t="n">
        <v>0</v>
      </c>
      <c r="F17" s="32" t="n">
        <v>1</v>
      </c>
      <c r="G17" s="32" t="n">
        <v>0</v>
      </c>
      <c r="H17" s="32" t="n">
        <v>1</v>
      </c>
      <c r="J17" s="16" t="n">
        <f aca="false">$C17*D17</f>
        <v>0</v>
      </c>
      <c r="K17" s="16" t="n">
        <f aca="false">$C17*E17</f>
        <v>0</v>
      </c>
      <c r="L17" s="16" t="n">
        <f aca="false">$C17*F17</f>
        <v>1200</v>
      </c>
      <c r="M17" s="16" t="n">
        <f aca="false">$C17*G17</f>
        <v>0</v>
      </c>
      <c r="N17" s="16" t="n">
        <f aca="false">$C17*H17</f>
        <v>1200</v>
      </c>
      <c r="O17" s="17" t="n">
        <f aca="false">SUM(J17:N17)</f>
        <v>2400</v>
      </c>
    </row>
    <row r="18" customFormat="false" ht="15" hidden="false" customHeight="false" outlineLevel="0" collapsed="false">
      <c r="A18" s="8" t="s">
        <v>156</v>
      </c>
      <c r="B18" s="8" t="s">
        <v>123</v>
      </c>
      <c r="C18" s="9" t="n">
        <f aca="false">'Custos Unitários'!$D$19</f>
        <v>28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40</v>
      </c>
      <c r="J18" s="16" t="n">
        <f aca="false">$C18*D18</f>
        <v>0</v>
      </c>
      <c r="K18" s="16" t="n">
        <f aca="false">$C18*E18</f>
        <v>0</v>
      </c>
      <c r="L18" s="16" t="n">
        <f aca="false">$C18*F18</f>
        <v>0</v>
      </c>
      <c r="M18" s="16" t="n">
        <f aca="false">$C18*G18</f>
        <v>0</v>
      </c>
      <c r="N18" s="16" t="n">
        <f aca="false">$C18*H18</f>
        <v>1120</v>
      </c>
      <c r="O18" s="17" t="n">
        <f aca="false">SUM(J18:N18)</f>
        <v>1120</v>
      </c>
    </row>
    <row r="19" customFormat="false" ht="15" hidden="false" customHeight="false" outlineLevel="0" collapsed="false">
      <c r="A19" s="8" t="s">
        <v>159</v>
      </c>
      <c r="B19" s="8" t="s">
        <v>73</v>
      </c>
      <c r="C19" s="9" t="n">
        <f aca="false">'Custos Unitários'!$D$20</f>
        <v>450</v>
      </c>
      <c r="D19" s="32" t="n">
        <v>1</v>
      </c>
      <c r="E19" s="32" t="n">
        <v>1</v>
      </c>
      <c r="F19" s="32" t="n">
        <v>1</v>
      </c>
      <c r="G19" s="32" t="n">
        <v>1</v>
      </c>
      <c r="H19" s="32" t="n">
        <v>1</v>
      </c>
      <c r="J19" s="16" t="n">
        <f aca="false">$C19*D19</f>
        <v>450</v>
      </c>
      <c r="K19" s="16" t="n">
        <f aca="false">$C19*E19</f>
        <v>450</v>
      </c>
      <c r="L19" s="16" t="n">
        <f aca="false">$C19*F19</f>
        <v>450</v>
      </c>
      <c r="M19" s="16" t="n">
        <f aca="false">$C19*G19</f>
        <v>450</v>
      </c>
      <c r="N19" s="16" t="n">
        <f aca="false">$C19*H19</f>
        <v>450</v>
      </c>
      <c r="O19" s="17" t="n">
        <f aca="false">SUM(J19:N19)</f>
        <v>2250</v>
      </c>
    </row>
    <row r="20" customFormat="false" ht="15" hidden="false" customHeight="false" outlineLevel="0" collapsed="false">
      <c r="A20" s="34" t="s">
        <v>232</v>
      </c>
      <c r="B20" s="29"/>
      <c r="C20" s="29"/>
      <c r="D20" s="29"/>
      <c r="E20" s="29"/>
      <c r="F20" s="29"/>
      <c r="G20" s="29"/>
      <c r="H20" s="29"/>
      <c r="I20" s="29"/>
      <c r="J20" s="35" t="n">
        <f aca="false">SUM(J4:J19)</f>
        <v>11190</v>
      </c>
      <c r="K20" s="35" t="n">
        <f aca="false">SUM(K4:K19)</f>
        <v>15964</v>
      </c>
      <c r="L20" s="35" t="n">
        <f aca="false">SUM(L4:L19)</f>
        <v>27440</v>
      </c>
      <c r="M20" s="35" t="n">
        <f aca="false">SUM(M4:M19)</f>
        <v>12008</v>
      </c>
      <c r="N20" s="35" t="n">
        <f aca="false">SUM(N4:N19)</f>
        <v>15970</v>
      </c>
      <c r="O20" s="35" t="n">
        <f aca="false">SUM(J20:N20)</f>
        <v>82572</v>
      </c>
    </row>
    <row r="21" customFormat="false" ht="15" hidden="false" customHeight="false" outlineLevel="0" collapsed="false">
      <c r="A21" s="8" t="s">
        <v>68</v>
      </c>
      <c r="J21" s="16" t="n">
        <f aca="false">J20*Premissas!$C$5</f>
        <v>895.2</v>
      </c>
      <c r="K21" s="16" t="n">
        <f aca="false">K20*Premissas!$C$5</f>
        <v>1277.12</v>
      </c>
      <c r="L21" s="16" t="n">
        <f aca="false">L20*Premissas!$C$5</f>
        <v>2195.2</v>
      </c>
      <c r="M21" s="16" t="n">
        <f aca="false">M20*Premissas!$C$5</f>
        <v>960.64</v>
      </c>
      <c r="N21" s="16" t="n">
        <f aca="false">N20*Premissas!$C$5</f>
        <v>1277.6</v>
      </c>
      <c r="O21" s="16" t="n">
        <f aca="false">SUM(J21:N21)</f>
        <v>6605.76</v>
      </c>
    </row>
    <row r="22" customFormat="false" ht="15" hidden="false" customHeight="false" outlineLevel="0" collapsed="false">
      <c r="A22" s="8" t="s">
        <v>233</v>
      </c>
      <c r="J22" s="16" t="n">
        <f aca="false">J20*Premissas!$C$4</f>
        <v>1119</v>
      </c>
      <c r="K22" s="16" t="n">
        <f aca="false">K20*Premissas!$C$4</f>
        <v>1596.4</v>
      </c>
      <c r="L22" s="16" t="n">
        <f aca="false">L20*Premissas!$C$4</f>
        <v>2744</v>
      </c>
      <c r="M22" s="16" t="n">
        <f aca="false">M20*Premissas!$C$4</f>
        <v>1200.8</v>
      </c>
      <c r="N22" s="16" t="n">
        <f aca="false">N20*Premissas!$C$4</f>
        <v>1597</v>
      </c>
      <c r="O22" s="16" t="n">
        <f aca="false">SUM(J22:N22)</f>
        <v>8257.2</v>
      </c>
    </row>
    <row r="23" customFormat="false" ht="15" hidden="false" customHeight="false" outlineLevel="0" collapsed="false">
      <c r="A23" s="36" t="s">
        <v>234</v>
      </c>
      <c r="B23" s="37"/>
      <c r="C23" s="37"/>
      <c r="D23" s="37"/>
      <c r="E23" s="37"/>
      <c r="F23" s="37"/>
      <c r="G23" s="37"/>
      <c r="H23" s="37"/>
      <c r="I23" s="37"/>
      <c r="J23" s="38" t="n">
        <f aca="false">J20+J21+J22</f>
        <v>13204.2</v>
      </c>
      <c r="K23" s="38" t="n">
        <f aca="false">K20+K21+K22</f>
        <v>18837.52</v>
      </c>
      <c r="L23" s="38" t="n">
        <f aca="false">L20+L21+L22</f>
        <v>32379.2</v>
      </c>
      <c r="M23" s="38" t="n">
        <f aca="false">M20+M21+M22</f>
        <v>14169.44</v>
      </c>
      <c r="N23" s="38" t="n">
        <f aca="false">N20+N21+N22</f>
        <v>18844.6</v>
      </c>
      <c r="O23" s="38" t="n">
        <f aca="false">SUM(J23:N23)</f>
        <v>97434.96</v>
      </c>
    </row>
    <row r="25" customFormat="false" ht="15" hidden="false" customHeight="false" outlineLevel="0" collapsed="false">
      <c r="A25" s="8" t="s">
        <v>235</v>
      </c>
      <c r="J25" s="12" t="n">
        <f aca="false">Premissas!$C$21</f>
        <v>200</v>
      </c>
      <c r="K25" s="12" t="n">
        <f aca="false">Premissas!$D$21</f>
        <v>300</v>
      </c>
      <c r="L25" s="12" t="n">
        <f aca="false">Premissas!$E$21</f>
        <v>300</v>
      </c>
      <c r="M25" s="12" t="n">
        <f aca="false">Premissas!$F$21</f>
        <v>200</v>
      </c>
      <c r="N25" s="12" t="n">
        <f aca="false">Premissas!$G$21</f>
        <v>150</v>
      </c>
      <c r="O25" s="39" t="n">
        <f aca="false">SUM(J25:N25)</f>
        <v>1150</v>
      </c>
    </row>
    <row r="26" customFormat="false" ht="15" hidden="false" customHeight="false" outlineLevel="0" collapsed="false">
      <c r="A26" s="8" t="s">
        <v>236</v>
      </c>
      <c r="J26" s="16" t="n">
        <f aca="false">IFERROR(J23/J25,0)</f>
        <v>66.021</v>
      </c>
      <c r="K26" s="16" t="n">
        <f aca="false">IFERROR(K23/K25,0)</f>
        <v>62.7917333333333</v>
      </c>
      <c r="L26" s="16" t="n">
        <f aca="false">IFERROR(L23/L25,0)</f>
        <v>107.930666666667</v>
      </c>
      <c r="M26" s="16" t="n">
        <f aca="false">IFERROR(M23/M25,0)</f>
        <v>70.8472</v>
      </c>
      <c r="N26" s="16" t="n">
        <f aca="false">IFERROR(N23/N25,0)</f>
        <v>125.630666666667</v>
      </c>
      <c r="O26" s="16" t="n">
        <f aca="false">IFERROR(O23/O25,0)</f>
        <v>84.726052173913</v>
      </c>
    </row>
    <row r="27" customFormat="false" ht="15" hidden="false" customHeight="false" outlineLevel="0" collapsed="false">
      <c r="A27" s="8" t="s">
        <v>237</v>
      </c>
      <c r="J27" s="16" t="n">
        <f aca="false">IFERROR(J23/(J25*Premissas!$C$6),0)</f>
        <v>94.3157142857143</v>
      </c>
      <c r="K27" s="16" t="n">
        <f aca="false">IFERROR(K23/(K25*Premissas!$C$6),0)</f>
        <v>89.7024761904762</v>
      </c>
      <c r="L27" s="16" t="n">
        <f aca="false">IFERROR(L23/(L25*Premissas!$C$6),0)</f>
        <v>154.186666666667</v>
      </c>
      <c r="M27" s="16" t="n">
        <f aca="false">IFERROR(M23/(M25*Premissas!$C$6),0)</f>
        <v>101.210285714286</v>
      </c>
      <c r="N27" s="16" t="n">
        <f aca="false">IFERROR(N23/(N25*Premissas!$C$6),0)</f>
        <v>179.472380952381</v>
      </c>
      <c r="O27" s="16" t="n">
        <f aca="false">IFERROR(O23/(O25*Premissas!$C$6),0)</f>
        <v>121.037217391304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10" min="4" style="0" width="15"/>
  </cols>
  <sheetData>
    <row r="1" customFormat="false" ht="17.35" hidden="false" customHeight="false" outlineLevel="0" collapsed="false">
      <c r="A1" s="4" t="s">
        <v>238</v>
      </c>
    </row>
    <row r="3" customFormat="false" ht="57.75" hidden="false" customHeight="true" outlineLevel="0" collapsed="false">
      <c r="A3" s="6" t="s">
        <v>107</v>
      </c>
      <c r="B3" s="6" t="s">
        <v>63</v>
      </c>
      <c r="C3" s="6" t="s">
        <v>222</v>
      </c>
      <c r="D3" s="6" t="s">
        <v>37</v>
      </c>
      <c r="E3" s="6" t="s">
        <v>40</v>
      </c>
      <c r="F3" s="6" t="s">
        <v>42</v>
      </c>
      <c r="G3" s="6" t="s">
        <v>44</v>
      </c>
      <c r="H3" s="6" t="s">
        <v>46</v>
      </c>
      <c r="I3" s="6" t="s">
        <v>48</v>
      </c>
      <c r="J3" s="6" t="s">
        <v>50</v>
      </c>
    </row>
    <row r="4" customFormat="false" ht="15" hidden="false" customHeight="false" outlineLevel="0" collapsed="false">
      <c r="A4" s="8" t="s">
        <v>163</v>
      </c>
      <c r="B4" s="8" t="s">
        <v>73</v>
      </c>
      <c r="C4" s="9" t="n">
        <f aca="false">'Custos Unitários'!$D$22</f>
        <v>4</v>
      </c>
      <c r="D4" s="13" t="n">
        <v>1</v>
      </c>
      <c r="E4" s="13" t="n">
        <v>1</v>
      </c>
      <c r="F4" s="13" t="n">
        <v>1</v>
      </c>
      <c r="G4" s="13" t="n">
        <v>1</v>
      </c>
      <c r="H4" s="13" t="n">
        <v>1</v>
      </c>
      <c r="I4" s="13" t="n">
        <v>4</v>
      </c>
      <c r="J4" s="13" t="n">
        <v>0</v>
      </c>
    </row>
    <row r="5" customFormat="false" ht="15" hidden="false" customHeight="false" outlineLevel="0" collapsed="false">
      <c r="A5" s="8" t="s">
        <v>166</v>
      </c>
      <c r="B5" s="8" t="s">
        <v>73</v>
      </c>
      <c r="C5" s="9" t="n">
        <f aca="false">'Custos Unitários'!$D$23</f>
        <v>22</v>
      </c>
      <c r="D5" s="13" t="n">
        <v>1</v>
      </c>
      <c r="E5" s="13" t="n">
        <v>1</v>
      </c>
      <c r="F5" s="13" t="n">
        <v>1</v>
      </c>
      <c r="G5" s="13" t="n">
        <v>0</v>
      </c>
      <c r="H5" s="13" t="n">
        <v>0</v>
      </c>
      <c r="I5" s="13" t="n">
        <v>0</v>
      </c>
      <c r="J5" s="13" t="n">
        <v>0</v>
      </c>
    </row>
    <row r="6" customFormat="false" ht="15" hidden="false" customHeight="false" outlineLevel="0" collapsed="false">
      <c r="A6" s="8" t="s">
        <v>169</v>
      </c>
      <c r="B6" s="8" t="s">
        <v>73</v>
      </c>
      <c r="C6" s="9" t="n">
        <f aca="false">'Custos Unitários'!$D$24</f>
        <v>14</v>
      </c>
      <c r="D6" s="13" t="n">
        <v>1</v>
      </c>
      <c r="E6" s="13" t="n">
        <v>1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</row>
    <row r="7" customFormat="false" ht="15" hidden="false" customHeight="false" outlineLevel="0" collapsed="false">
      <c r="A7" s="8" t="s">
        <v>172</v>
      </c>
      <c r="B7" s="8" t="s">
        <v>73</v>
      </c>
      <c r="C7" s="9" t="n">
        <f aca="false">'Custos Unitários'!$D$25</f>
        <v>2</v>
      </c>
      <c r="D7" s="13" t="n">
        <v>1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</row>
    <row r="8" customFormat="false" ht="15" hidden="false" customHeight="false" outlineLevel="0" collapsed="false">
      <c r="A8" s="8" t="s">
        <v>174</v>
      </c>
      <c r="B8" s="8" t="s">
        <v>73</v>
      </c>
      <c r="C8" s="9" t="n">
        <f aca="false">'Custos Unitários'!$D$26</f>
        <v>7</v>
      </c>
      <c r="D8" s="13" t="n">
        <v>0</v>
      </c>
      <c r="E8" s="13" t="n">
        <v>1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</row>
    <row r="9" customFormat="false" ht="15" hidden="false" customHeight="false" outlineLevel="0" collapsed="false">
      <c r="A9" s="8" t="s">
        <v>177</v>
      </c>
      <c r="B9" s="8" t="s">
        <v>73</v>
      </c>
      <c r="C9" s="9" t="n">
        <f aca="false">'Custos Unitários'!$D$27</f>
        <v>38</v>
      </c>
      <c r="D9" s="13" t="n">
        <v>0</v>
      </c>
      <c r="E9" s="13" t="n">
        <v>0</v>
      </c>
      <c r="F9" s="13" t="n">
        <v>1</v>
      </c>
      <c r="G9" s="13" t="n">
        <v>0</v>
      </c>
      <c r="H9" s="13" t="n">
        <v>1</v>
      </c>
      <c r="I9" s="13" t="n">
        <v>0</v>
      </c>
      <c r="J9" s="13" t="n">
        <v>0</v>
      </c>
    </row>
    <row r="10" customFormat="false" ht="15" hidden="false" customHeight="false" outlineLevel="0" collapsed="false">
      <c r="A10" s="8" t="s">
        <v>180</v>
      </c>
      <c r="B10" s="8" t="s">
        <v>73</v>
      </c>
      <c r="C10" s="9" t="n">
        <f aca="false">'Custos Unitários'!$D$28</f>
        <v>32</v>
      </c>
      <c r="D10" s="13" t="n">
        <v>0</v>
      </c>
      <c r="E10" s="13" t="n">
        <v>0</v>
      </c>
      <c r="F10" s="13" t="n">
        <v>0</v>
      </c>
      <c r="G10" s="13" t="n">
        <v>1</v>
      </c>
      <c r="H10" s="13" t="n">
        <v>0</v>
      </c>
      <c r="I10" s="13" t="n">
        <v>4</v>
      </c>
      <c r="J10" s="13" t="n">
        <v>0</v>
      </c>
    </row>
    <row r="11" customFormat="false" ht="15" hidden="false" customHeight="false" outlineLevel="0" collapsed="false">
      <c r="A11" s="8" t="s">
        <v>183</v>
      </c>
      <c r="B11" s="8" t="s">
        <v>73</v>
      </c>
      <c r="C11" s="9" t="n">
        <f aca="false">'Custos Unitários'!$D$29</f>
        <v>30</v>
      </c>
      <c r="D11" s="13" t="n">
        <v>0</v>
      </c>
      <c r="E11" s="13" t="n">
        <v>0</v>
      </c>
      <c r="F11" s="13" t="n">
        <v>0</v>
      </c>
      <c r="G11" s="13" t="n">
        <v>1</v>
      </c>
      <c r="H11" s="13" t="n">
        <v>0</v>
      </c>
      <c r="I11" s="13" t="n">
        <v>4</v>
      </c>
      <c r="J11" s="13" t="n">
        <v>0</v>
      </c>
    </row>
    <row r="12" customFormat="false" ht="15" hidden="false" customHeight="false" outlineLevel="0" collapsed="false">
      <c r="A12" s="8" t="s">
        <v>186</v>
      </c>
      <c r="B12" s="8" t="s">
        <v>73</v>
      </c>
      <c r="C12" s="9" t="n">
        <f aca="false">'Custos Unitários'!$D$30</f>
        <v>16</v>
      </c>
      <c r="D12" s="13" t="n">
        <v>0</v>
      </c>
      <c r="E12" s="13" t="n">
        <v>0</v>
      </c>
      <c r="F12" s="13" t="n">
        <v>0</v>
      </c>
      <c r="G12" s="13" t="n">
        <v>1</v>
      </c>
      <c r="H12" s="13" t="n">
        <v>0</v>
      </c>
      <c r="I12" s="13" t="n">
        <v>0</v>
      </c>
      <c r="J12" s="13" t="n">
        <v>0</v>
      </c>
    </row>
    <row r="13" customFormat="false" ht="15" hidden="false" customHeight="false" outlineLevel="0" collapsed="false">
      <c r="A13" s="8" t="s">
        <v>189</v>
      </c>
      <c r="B13" s="8" t="s">
        <v>73</v>
      </c>
      <c r="C13" s="9" t="n">
        <f aca="false">'Custos Unitários'!$D$31</f>
        <v>38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1</v>
      </c>
      <c r="I13" s="13" t="n">
        <v>0</v>
      </c>
      <c r="J13" s="13" t="n">
        <v>0</v>
      </c>
    </row>
    <row r="14" customFormat="false" ht="15" hidden="false" customHeight="false" outlineLevel="0" collapsed="false">
      <c r="A14" s="8" t="s">
        <v>192</v>
      </c>
      <c r="B14" s="8" t="s">
        <v>73</v>
      </c>
      <c r="C14" s="9" t="n">
        <f aca="false">'Custos Unitários'!$D$32</f>
        <v>2</v>
      </c>
      <c r="D14" s="13" t="n">
        <v>0</v>
      </c>
      <c r="E14" s="13" t="n">
        <v>0</v>
      </c>
      <c r="F14" s="13" t="n">
        <v>1</v>
      </c>
      <c r="G14" s="13" t="n">
        <v>1</v>
      </c>
      <c r="H14" s="13" t="n">
        <v>1</v>
      </c>
      <c r="I14" s="13" t="n">
        <v>4</v>
      </c>
      <c r="J14" s="13" t="n">
        <v>0</v>
      </c>
    </row>
    <row r="15" customFormat="false" ht="15" hidden="false" customHeight="false" outlineLevel="0" collapsed="false">
      <c r="A15" s="8" t="s">
        <v>195</v>
      </c>
      <c r="B15" s="8" t="s">
        <v>73</v>
      </c>
      <c r="C15" s="9" t="n">
        <f aca="false">'Custos Unitários'!$D$33</f>
        <v>8</v>
      </c>
      <c r="D15" s="13" t="n">
        <v>0</v>
      </c>
      <c r="E15" s="13" t="n">
        <v>0</v>
      </c>
      <c r="F15" s="13" t="n">
        <v>1</v>
      </c>
      <c r="G15" s="13" t="n">
        <v>1</v>
      </c>
      <c r="H15" s="13" t="n">
        <v>1</v>
      </c>
      <c r="I15" s="13" t="n">
        <v>4</v>
      </c>
      <c r="J15" s="13" t="n">
        <v>0</v>
      </c>
    </row>
    <row r="16" customFormat="false" ht="15" hidden="false" customHeight="false" outlineLevel="0" collapsed="false">
      <c r="A16" s="8" t="s">
        <v>198</v>
      </c>
      <c r="B16" s="8" t="s">
        <v>73</v>
      </c>
      <c r="C16" s="9" t="n">
        <f aca="false">'Custos Unitários'!$D$34</f>
        <v>6</v>
      </c>
      <c r="D16" s="13" t="n">
        <v>1</v>
      </c>
      <c r="E16" s="13" t="n">
        <v>1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</row>
    <row r="17" customFormat="false" ht="15" hidden="false" customHeight="false" outlineLevel="0" collapsed="false">
      <c r="A17" s="8" t="s">
        <v>201</v>
      </c>
      <c r="B17" s="8" t="s">
        <v>73</v>
      </c>
      <c r="C17" s="9" t="n">
        <f aca="false">'Custos Unitários'!$D$35</f>
        <v>95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1</v>
      </c>
      <c r="J17" s="13" t="n">
        <v>0</v>
      </c>
    </row>
    <row r="18" customFormat="false" ht="15" hidden="false" customHeight="false" outlineLevel="0" collapsed="false">
      <c r="A18" s="8" t="s">
        <v>204</v>
      </c>
      <c r="B18" s="8" t="s">
        <v>73</v>
      </c>
      <c r="C18" s="9" t="n">
        <f aca="false">'Custos Unitários'!$D$36</f>
        <v>60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1</v>
      </c>
      <c r="J18" s="13" t="n">
        <v>0</v>
      </c>
    </row>
    <row r="19" customFormat="false" ht="15" hidden="false" customHeight="false" outlineLevel="0" collapsed="false">
      <c r="A19" s="8" t="s">
        <v>207</v>
      </c>
      <c r="B19" s="8" t="s">
        <v>73</v>
      </c>
      <c r="C19" s="9" t="n">
        <f aca="false">'Custos Unitários'!$D$37</f>
        <v>15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1</v>
      </c>
    </row>
    <row r="20" customFormat="false" ht="15" hidden="false" customHeight="false" outlineLevel="0" collapsed="false">
      <c r="A20" s="8" t="s">
        <v>210</v>
      </c>
      <c r="B20" s="8" t="s">
        <v>73</v>
      </c>
      <c r="C20" s="9" t="n">
        <f aca="false">'Custos Unitários'!$D$38</f>
        <v>20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1</v>
      </c>
    </row>
    <row r="21" customFormat="false" ht="15" hidden="false" customHeight="false" outlineLevel="0" collapsed="false">
      <c r="A21" s="8" t="s">
        <v>213</v>
      </c>
      <c r="B21" s="8" t="s">
        <v>73</v>
      </c>
      <c r="C21" s="9" t="n">
        <f aca="false">'Custos Unitários'!$D$39</f>
        <v>10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1</v>
      </c>
    </row>
    <row r="22" customFormat="false" ht="15" hidden="false" customHeight="false" outlineLevel="0" collapsed="false">
      <c r="A22" s="8" t="s">
        <v>216</v>
      </c>
      <c r="B22" s="8" t="s">
        <v>73</v>
      </c>
      <c r="C22" s="9" t="n">
        <f aca="false">'Custos Unitários'!$D$40</f>
        <v>3</v>
      </c>
      <c r="D22" s="13" t="n">
        <v>1</v>
      </c>
      <c r="E22" s="13" t="n">
        <v>1</v>
      </c>
      <c r="F22" s="13" t="n">
        <v>1</v>
      </c>
      <c r="G22" s="13" t="n">
        <v>1</v>
      </c>
      <c r="H22" s="13" t="n">
        <v>1</v>
      </c>
      <c r="I22" s="13" t="n">
        <v>1</v>
      </c>
      <c r="J22" s="13" t="n">
        <v>1</v>
      </c>
    </row>
    <row r="23" customFormat="false" ht="15" hidden="false" customHeight="false" outlineLevel="0" collapsed="false">
      <c r="A23" s="36" t="s">
        <v>239</v>
      </c>
      <c r="B23" s="37"/>
      <c r="C23" s="37"/>
      <c r="D23" s="15" t="n">
        <f aca="false">SUMPRODUCT($C$4:$C$22,D4:D22)</f>
        <v>51</v>
      </c>
      <c r="E23" s="15" t="n">
        <f aca="false">SUMPRODUCT($C$4:$C$22,E4:E22)</f>
        <v>56</v>
      </c>
      <c r="F23" s="15" t="n">
        <f aca="false">SUMPRODUCT($C$4:$C$22,F4:F22)</f>
        <v>77</v>
      </c>
      <c r="G23" s="15" t="n">
        <f aca="false">SUMPRODUCT($C$4:$C$22,G4:G22)</f>
        <v>95</v>
      </c>
      <c r="H23" s="15" t="n">
        <f aca="false">SUMPRODUCT($C$4:$C$22,H4:H22)</f>
        <v>93</v>
      </c>
      <c r="I23" s="15" t="n">
        <f aca="false">SUMPRODUCT($C$4:$C$22,I4:I22)</f>
        <v>462</v>
      </c>
      <c r="J23" s="15" t="n">
        <f aca="false">SUMPRODUCT($C$4:$C$22,J4:J22)</f>
        <v>48</v>
      </c>
    </row>
    <row r="25" customFormat="false" ht="15" hidden="false" customHeight="false" outlineLevel="0" collapsed="false">
      <c r="A25" s="5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2026-10-06T19:47:08Z</dcterms:created>
  <dc:creator>openpyxl</dc:creator>
  <dc:description/>
  <dc:language>en-US</dc:language>
  <cp:lastModifiedBy/>
  <dcterms:modified xsi:type="dcterms:W3CDTF">2026-10-06T19:47:09Z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