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ajeros" sheetId="1" state="visible" r:id="rId1"/>
    <sheet name="Vuelos" sheetId="2" state="visible" r:id="rId2"/>
    <sheet name="Hotel" sheetId="3" state="visible" r:id="rId3"/>
  </sheets>
  <definedNames>
    <definedName name="_xlnm._FilterDatabase" localSheetId="1" hidden="1">'Vuelos'!$A$4:$J$84</definedName>
    <definedName name="_xlnm._FilterDatabase" localSheetId="2" hidden="1">'Hotel'!$A$4:$J$84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6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vertical="center"/>
    </xf>
    <xf numFmtId="164" fontId="4" fillId="4" borderId="1" applyAlignment="1" pivotButton="0" quotePrefix="0" xfId="0">
      <alignment vertical="center"/>
    </xf>
    <xf numFmtId="164" fontId="5" fillId="4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5" fontId="4" fillId="4" borderId="1" applyAlignment="1" pivotButton="0" quotePrefix="0" xfId="0">
      <alignment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1" fontId="5" fillId="3" borderId="1" applyAlignment="1" pivotButton="0" quotePrefix="0" xfId="0">
      <alignment horizontal="center"/>
    </xf>
    <xf numFmtId="1" fontId="4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Arial"/>
        <b val="1"/>
        <color rgb="00C000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Planilla</author>
  </authors>
  <commentList>
    <comment ref="B5" authorId="0" shapeId="0">
      <text>
        <t>Reemplace 'Persona 1'…'Persona 7' por los nombres reales. Los nombres se usan en las listas desplegables de las otras pestañas.</t>
      </text>
    </comment>
  </commentList>
</comments>
</file>

<file path=xl/comments/comment2.xml><?xml version="1.0" encoding="utf-8"?>
<comments xmlns="http://schemas.openxmlformats.org/spreadsheetml/2006/main">
  <authors>
    <author>Planilla</author>
  </authors>
  <commentList>
    <comment ref="I4" authorId="0" shapeId="0">
      <text>
        <t>Se pone en rojo si el pasaporte vence menos de 6 meses después de la fecha del vuelo.</t>
      </text>
    </comment>
    <comment ref="A5" authorId="0" shapeId="0">
      <text>
        <t>Fila de ejemplo – reemplácela con los datos reales.</t>
      </text>
    </comment>
  </commentList>
</comments>
</file>

<file path=xl/comments/comment3.xml><?xml version="1.0" encoding="utf-8"?>
<comments xmlns="http://schemas.openxmlformats.org/spreadsheetml/2006/main">
  <authors>
    <author>Planilla</author>
  </authors>
  <commentList>
    <comment ref="D4" authorId="0" shapeId="0">
      <text>
        <t>Se pone en rojo si el pasaporte vence menos de 6 meses después del check-in.</t>
      </text>
    </comment>
    <comment ref="A5" authorId="0" shapeId="0">
      <text>
        <t>Fila de ejemplo – reemplácela con los datos reales.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20" customWidth="1" min="4" max="4"/>
    <col width="22" customWidth="1" min="5" max="5"/>
  </cols>
  <sheetData>
    <row r="1">
      <c r="A1" s="1" t="inlineStr">
        <is>
          <t>Viajeros – Vangrupo | Brasil, Noviembre 2026</t>
        </is>
      </c>
    </row>
    <row r="2" ht="42" customHeight="1">
      <c r="A2" s="2" t="inlineStr">
        <is>
          <t>Registre aquí a las 7 personas una sola vez. Celdas amarillas = completar. El nombre, la fecha de nacimiento y el pasaporte aparecen automáticamente en las pestañas Vuelos y Hotel. Vencimiento en rojo = vence menos de 6 meses después del 30/11/2026.</t>
        </is>
      </c>
    </row>
    <row r="4" ht="32" customHeight="1">
      <c r="A4" s="3" t="inlineStr">
        <is>
          <t>Nº</t>
        </is>
      </c>
      <c r="B4" s="3" t="inlineStr">
        <is>
          <t>Nombre de la Persona</t>
        </is>
      </c>
      <c r="C4" s="3" t="inlineStr">
        <is>
          <t>Fecha de Nacimiento</t>
        </is>
      </c>
      <c r="D4" s="3" t="inlineStr">
        <is>
          <t>Nº de Pasaporte</t>
        </is>
      </c>
      <c r="E4" s="3" t="inlineStr">
        <is>
          <t>Vencimiento del Pasaporte</t>
        </is>
      </c>
    </row>
    <row r="5">
      <c r="A5" s="4" t="n">
        <v>1</v>
      </c>
      <c r="B5" s="5" t="inlineStr">
        <is>
          <t>Persona 1</t>
        </is>
      </c>
      <c r="C5" s="6" t="n"/>
      <c r="D5" s="5" t="n"/>
      <c r="E5" s="6" t="n"/>
    </row>
    <row r="6">
      <c r="A6" s="4" t="n">
        <v>2</v>
      </c>
      <c r="B6" s="5" t="inlineStr">
        <is>
          <t>Persona 2</t>
        </is>
      </c>
      <c r="C6" s="6" t="n"/>
      <c r="D6" s="5" t="n"/>
      <c r="E6" s="6" t="n"/>
    </row>
    <row r="7">
      <c r="A7" s="4" t="n">
        <v>3</v>
      </c>
      <c r="B7" s="5" t="inlineStr">
        <is>
          <t>Persona 3</t>
        </is>
      </c>
      <c r="C7" s="6" t="n"/>
      <c r="D7" s="5" t="n"/>
      <c r="E7" s="6" t="n"/>
    </row>
    <row r="8">
      <c r="A8" s="4" t="n">
        <v>4</v>
      </c>
      <c r="B8" s="5" t="inlineStr">
        <is>
          <t>Persona 4</t>
        </is>
      </c>
      <c r="C8" s="6" t="n"/>
      <c r="D8" s="5" t="n"/>
      <c r="E8" s="6" t="n"/>
    </row>
    <row r="9">
      <c r="A9" s="4" t="n">
        <v>5</v>
      </c>
      <c r="B9" s="5" t="inlineStr">
        <is>
          <t>Persona 5</t>
        </is>
      </c>
      <c r="C9" s="6" t="n"/>
      <c r="D9" s="5" t="n"/>
      <c r="E9" s="6" t="n"/>
    </row>
    <row r="10">
      <c r="A10" s="4" t="n">
        <v>6</v>
      </c>
      <c r="B10" s="5" t="inlineStr">
        <is>
          <t>Persona 6</t>
        </is>
      </c>
      <c r="C10" s="6" t="n"/>
      <c r="D10" s="5" t="n"/>
      <c r="E10" s="6" t="n"/>
    </row>
    <row r="11">
      <c r="A11" s="4" t="n">
        <v>7</v>
      </c>
      <c r="B11" s="5" t="inlineStr">
        <is>
          <t>Persona 7</t>
        </is>
      </c>
      <c r="C11" s="6" t="n"/>
      <c r="D11" s="5" t="n"/>
      <c r="E11" s="6" t="n"/>
    </row>
  </sheetData>
  <mergeCells count="1">
    <mergeCell ref="A2:E2"/>
  </mergeCells>
  <conditionalFormatting sqref="E5:E11">
    <cfRule type="expression" priority="1" dxfId="0">
      <formula>AND(E5&lt;&gt;"",E5&lt;DATE(2027,5,30))</formula>
    </cfRule>
  </conditionalFormatting>
  <dataValidations count="2">
    <dataValidation sqref="E5:E11" showDropDown="0" showInputMessage="0" showErrorMessage="1" allowBlank="0" error="Ingrese una fecha válida (DD/MM/AAAA)." type="date" operator="greaterThan">
      <formula1>DATE(2020,1,1)</formula1>
    </dataValidation>
    <dataValidation sqref="C5:C11" showDropDown="0" showInputMessage="0" showErrorMessage="1" allowBlank="0" error="Ingrese una fecha de nacimiento válida (DD/MM/AAAA)." type="date" operator="between">
      <formula1>DATE(1920,1,1)</formula1>
      <formula2>DATE(2026,12,31)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22" customWidth="1" min="4" max="4"/>
    <col width="22" customWidth="1" min="5" max="5"/>
    <col width="28" customWidth="1" min="6" max="6"/>
    <col width="14" customWidth="1" min="7" max="7"/>
    <col width="18" customWidth="1" min="8" max="8"/>
    <col width="16" customWidth="1" min="9" max="9"/>
    <col width="45" customWidth="1" min="10" max="10"/>
  </cols>
  <sheetData>
    <row r="1">
      <c r="A1" s="1" t="inlineStr">
        <is>
          <t>Vuelos – Vangrupo | Brasil, Noviembre 2026</t>
        </is>
      </c>
    </row>
    <row r="2" ht="42" customHeight="1">
      <c r="A2" s="2" t="inlineStr">
        <is>
          <t>Una fila por persona por vuelo (así queda claro quién va en cada vuelo, aunque no viajen siempre los 7 juntos). Amarillo = completar; gris = automático (se toma de la pestaña Viajeros). La fila 5 es un EJEMPLO – reemplácela o bórrela.</t>
        </is>
      </c>
    </row>
    <row r="4" ht="32" customHeight="1">
      <c r="A4" s="3" t="inlineStr">
        <is>
          <t>Fecha</t>
        </is>
      </c>
      <c r="B4" s="3" t="inlineStr">
        <is>
          <t>Nº de Vuelo</t>
        </is>
      </c>
      <c r="C4" s="3" t="inlineStr">
        <is>
          <t>Horario</t>
        </is>
      </c>
      <c r="D4" s="3" t="inlineStr">
        <is>
          <t>Origen</t>
        </is>
      </c>
      <c r="E4" s="3" t="inlineStr">
        <is>
          <t>Destino</t>
        </is>
      </c>
      <c r="F4" s="3" t="inlineStr">
        <is>
          <t>Nombre de la Persona</t>
        </is>
      </c>
      <c r="G4" s="3" t="inlineStr">
        <is>
          <t>Fecha de Nacimiento</t>
        </is>
      </c>
      <c r="H4" s="3" t="inlineStr">
        <is>
          <t>Nº de Pasaporte</t>
        </is>
      </c>
      <c r="I4" s="3" t="inlineStr">
        <is>
          <t>Vencimiento del Pasaporte</t>
        </is>
      </c>
      <c r="J4" s="3" t="inlineStr">
        <is>
          <t>Link del Sitio de Compra del Pasaje</t>
        </is>
      </c>
    </row>
    <row r="5">
      <c r="A5" s="7" t="n">
        <v>46329</v>
      </c>
      <c r="B5" s="8" t="inlineStr">
        <is>
          <t>TP 089</t>
        </is>
      </c>
      <c r="C5" s="9" t="n">
        <v>0.4375</v>
      </c>
      <c r="D5" s="8" t="inlineStr">
        <is>
          <t>Lisboa (LIS)</t>
        </is>
      </c>
      <c r="E5" s="8" t="inlineStr">
        <is>
          <t>São Paulo (GRU)</t>
        </is>
      </c>
      <c r="F5" s="8" t="inlineStr">
        <is>
          <t>Persona 1</t>
        </is>
      </c>
      <c r="G5" s="10">
        <f>IF(F5="","",IFERROR(IF(INDEX(Viajeros!$C$5:$C$11,MATCH(F5,Viajeros!$B$5:$B$11,0))="","",INDEX(Viajeros!$C$5:$C$11,MATCH(F5,Viajeros!$B$5:$B$11,0))),""))</f>
        <v/>
      </c>
      <c r="H5" s="11">
        <f>IF(F5="","",IFERROR(INDEX(Viajeros!$D$5:$D$11,MATCH(F5,Viajeros!$B$5:$B$11,0))&amp;"",""))</f>
        <v/>
      </c>
      <c r="I5" s="10">
        <f>IF(F5="","",IFERROR(IF(INDEX(Viajeros!$E$5:$E$11,MATCH(F5,Viajeros!$B$5:$B$11,0))="","",INDEX(Viajeros!$E$5:$E$11,MATCH(F5,Viajeros!$B$5:$B$11,0))),""))</f>
        <v/>
      </c>
      <c r="J5" s="8" t="inlineStr">
        <is>
          <t>https://www.flytap.com</t>
        </is>
      </c>
    </row>
    <row r="6">
      <c r="A6" s="6" t="n"/>
      <c r="B6" s="5" t="n"/>
      <c r="C6" s="12" t="n"/>
      <c r="D6" s="5" t="n"/>
      <c r="E6" s="5" t="n"/>
      <c r="F6" s="5" t="n"/>
      <c r="G6" s="13">
        <f>IF(F6="","",IFERROR(IF(INDEX(Viajeros!$C$5:$C$11,MATCH(F6,Viajeros!$B$5:$B$11,0))="","",INDEX(Viajeros!$C$5:$C$11,MATCH(F6,Viajeros!$B$5:$B$11,0))),""))</f>
        <v/>
      </c>
      <c r="H6" s="14">
        <f>IF(F6="","",IFERROR(INDEX(Viajeros!$D$5:$D$11,MATCH(F6,Viajeros!$B$5:$B$11,0))&amp;"",""))</f>
        <v/>
      </c>
      <c r="I6" s="13">
        <f>IF(F6="","",IFERROR(IF(INDEX(Viajeros!$E$5:$E$11,MATCH(F6,Viajeros!$B$5:$B$11,0))="","",INDEX(Viajeros!$E$5:$E$11,MATCH(F6,Viajeros!$B$5:$B$11,0))),""))</f>
        <v/>
      </c>
      <c r="J6" s="5" t="n"/>
    </row>
    <row r="7">
      <c r="A7" s="6" t="n"/>
      <c r="B7" s="5" t="n"/>
      <c r="C7" s="12" t="n"/>
      <c r="D7" s="5" t="n"/>
      <c r="E7" s="5" t="n"/>
      <c r="F7" s="5" t="n"/>
      <c r="G7" s="13">
        <f>IF(F7="","",IFERROR(IF(INDEX(Viajeros!$C$5:$C$11,MATCH(F7,Viajeros!$B$5:$B$11,0))="","",INDEX(Viajeros!$C$5:$C$11,MATCH(F7,Viajeros!$B$5:$B$11,0))),""))</f>
        <v/>
      </c>
      <c r="H7" s="14">
        <f>IF(F7="","",IFERROR(INDEX(Viajeros!$D$5:$D$11,MATCH(F7,Viajeros!$B$5:$B$11,0))&amp;"",""))</f>
        <v/>
      </c>
      <c r="I7" s="13">
        <f>IF(F7="","",IFERROR(IF(INDEX(Viajeros!$E$5:$E$11,MATCH(F7,Viajeros!$B$5:$B$11,0))="","",INDEX(Viajeros!$E$5:$E$11,MATCH(F7,Viajeros!$B$5:$B$11,0))),""))</f>
        <v/>
      </c>
      <c r="J7" s="5" t="n"/>
    </row>
    <row r="8">
      <c r="A8" s="6" t="n"/>
      <c r="B8" s="5" t="n"/>
      <c r="C8" s="12" t="n"/>
      <c r="D8" s="5" t="n"/>
      <c r="E8" s="5" t="n"/>
      <c r="F8" s="5" t="n"/>
      <c r="G8" s="13">
        <f>IF(F8="","",IFERROR(IF(INDEX(Viajeros!$C$5:$C$11,MATCH(F8,Viajeros!$B$5:$B$11,0))="","",INDEX(Viajeros!$C$5:$C$11,MATCH(F8,Viajeros!$B$5:$B$11,0))),""))</f>
        <v/>
      </c>
      <c r="H8" s="14">
        <f>IF(F8="","",IFERROR(INDEX(Viajeros!$D$5:$D$11,MATCH(F8,Viajeros!$B$5:$B$11,0))&amp;"",""))</f>
        <v/>
      </c>
      <c r="I8" s="13">
        <f>IF(F8="","",IFERROR(IF(INDEX(Viajeros!$E$5:$E$11,MATCH(F8,Viajeros!$B$5:$B$11,0))="","",INDEX(Viajeros!$E$5:$E$11,MATCH(F8,Viajeros!$B$5:$B$11,0))),""))</f>
        <v/>
      </c>
      <c r="J8" s="5" t="n"/>
    </row>
    <row r="9">
      <c r="A9" s="6" t="n"/>
      <c r="B9" s="5" t="n"/>
      <c r="C9" s="12" t="n"/>
      <c r="D9" s="5" t="n"/>
      <c r="E9" s="5" t="n"/>
      <c r="F9" s="5" t="n"/>
      <c r="G9" s="13">
        <f>IF(F9="","",IFERROR(IF(INDEX(Viajeros!$C$5:$C$11,MATCH(F9,Viajeros!$B$5:$B$11,0))="","",INDEX(Viajeros!$C$5:$C$11,MATCH(F9,Viajeros!$B$5:$B$11,0))),""))</f>
        <v/>
      </c>
      <c r="H9" s="14">
        <f>IF(F9="","",IFERROR(INDEX(Viajeros!$D$5:$D$11,MATCH(F9,Viajeros!$B$5:$B$11,0))&amp;"",""))</f>
        <v/>
      </c>
      <c r="I9" s="13">
        <f>IF(F9="","",IFERROR(IF(INDEX(Viajeros!$E$5:$E$11,MATCH(F9,Viajeros!$B$5:$B$11,0))="","",INDEX(Viajeros!$E$5:$E$11,MATCH(F9,Viajeros!$B$5:$B$11,0))),""))</f>
        <v/>
      </c>
      <c r="J9" s="5" t="n"/>
    </row>
    <row r="10">
      <c r="A10" s="6" t="n"/>
      <c r="B10" s="5" t="n"/>
      <c r="C10" s="12" t="n"/>
      <c r="D10" s="5" t="n"/>
      <c r="E10" s="5" t="n"/>
      <c r="F10" s="5" t="n"/>
      <c r="G10" s="13">
        <f>IF(F10="","",IFERROR(IF(INDEX(Viajeros!$C$5:$C$11,MATCH(F10,Viajeros!$B$5:$B$11,0))="","",INDEX(Viajeros!$C$5:$C$11,MATCH(F10,Viajeros!$B$5:$B$11,0))),""))</f>
        <v/>
      </c>
      <c r="H10" s="14">
        <f>IF(F10="","",IFERROR(INDEX(Viajeros!$D$5:$D$11,MATCH(F10,Viajeros!$B$5:$B$11,0))&amp;"",""))</f>
        <v/>
      </c>
      <c r="I10" s="13">
        <f>IF(F10="","",IFERROR(IF(INDEX(Viajeros!$E$5:$E$11,MATCH(F10,Viajeros!$B$5:$B$11,0))="","",INDEX(Viajeros!$E$5:$E$11,MATCH(F10,Viajeros!$B$5:$B$11,0))),""))</f>
        <v/>
      </c>
      <c r="J10" s="5" t="n"/>
    </row>
    <row r="11">
      <c r="A11" s="6" t="n"/>
      <c r="B11" s="5" t="n"/>
      <c r="C11" s="12" t="n"/>
      <c r="D11" s="5" t="n"/>
      <c r="E11" s="5" t="n"/>
      <c r="F11" s="5" t="n"/>
      <c r="G11" s="13">
        <f>IF(F11="","",IFERROR(IF(INDEX(Viajeros!$C$5:$C$11,MATCH(F11,Viajeros!$B$5:$B$11,0))="","",INDEX(Viajeros!$C$5:$C$11,MATCH(F11,Viajeros!$B$5:$B$11,0))),""))</f>
        <v/>
      </c>
      <c r="H11" s="14">
        <f>IF(F11="","",IFERROR(INDEX(Viajeros!$D$5:$D$11,MATCH(F11,Viajeros!$B$5:$B$11,0))&amp;"",""))</f>
        <v/>
      </c>
      <c r="I11" s="13">
        <f>IF(F11="","",IFERROR(IF(INDEX(Viajeros!$E$5:$E$11,MATCH(F11,Viajeros!$B$5:$B$11,0))="","",INDEX(Viajeros!$E$5:$E$11,MATCH(F11,Viajeros!$B$5:$B$11,0))),""))</f>
        <v/>
      </c>
      <c r="J11" s="5" t="n"/>
    </row>
    <row r="12">
      <c r="A12" s="6" t="n"/>
      <c r="B12" s="5" t="n"/>
      <c r="C12" s="12" t="n"/>
      <c r="D12" s="5" t="n"/>
      <c r="E12" s="5" t="n"/>
      <c r="F12" s="5" t="n"/>
      <c r="G12" s="13">
        <f>IF(F12="","",IFERROR(IF(INDEX(Viajeros!$C$5:$C$11,MATCH(F12,Viajeros!$B$5:$B$11,0))="","",INDEX(Viajeros!$C$5:$C$11,MATCH(F12,Viajeros!$B$5:$B$11,0))),""))</f>
        <v/>
      </c>
      <c r="H12" s="14">
        <f>IF(F12="","",IFERROR(INDEX(Viajeros!$D$5:$D$11,MATCH(F12,Viajeros!$B$5:$B$11,0))&amp;"",""))</f>
        <v/>
      </c>
      <c r="I12" s="13">
        <f>IF(F12="","",IFERROR(IF(INDEX(Viajeros!$E$5:$E$11,MATCH(F12,Viajeros!$B$5:$B$11,0))="","",INDEX(Viajeros!$E$5:$E$11,MATCH(F12,Viajeros!$B$5:$B$11,0))),""))</f>
        <v/>
      </c>
      <c r="J12" s="5" t="n"/>
    </row>
    <row r="13">
      <c r="A13" s="6" t="n"/>
      <c r="B13" s="5" t="n"/>
      <c r="C13" s="12" t="n"/>
      <c r="D13" s="5" t="n"/>
      <c r="E13" s="5" t="n"/>
      <c r="F13" s="5" t="n"/>
      <c r="G13" s="13">
        <f>IF(F13="","",IFERROR(IF(INDEX(Viajeros!$C$5:$C$11,MATCH(F13,Viajeros!$B$5:$B$11,0))="","",INDEX(Viajeros!$C$5:$C$11,MATCH(F13,Viajeros!$B$5:$B$11,0))),""))</f>
        <v/>
      </c>
      <c r="H13" s="14">
        <f>IF(F13="","",IFERROR(INDEX(Viajeros!$D$5:$D$11,MATCH(F13,Viajeros!$B$5:$B$11,0))&amp;"",""))</f>
        <v/>
      </c>
      <c r="I13" s="13">
        <f>IF(F13="","",IFERROR(IF(INDEX(Viajeros!$E$5:$E$11,MATCH(F13,Viajeros!$B$5:$B$11,0))="","",INDEX(Viajeros!$E$5:$E$11,MATCH(F13,Viajeros!$B$5:$B$11,0))),""))</f>
        <v/>
      </c>
      <c r="J13" s="5" t="n"/>
    </row>
    <row r="14">
      <c r="A14" s="6" t="n"/>
      <c r="B14" s="5" t="n"/>
      <c r="C14" s="12" t="n"/>
      <c r="D14" s="5" t="n"/>
      <c r="E14" s="5" t="n"/>
      <c r="F14" s="5" t="n"/>
      <c r="G14" s="13">
        <f>IF(F14="","",IFERROR(IF(INDEX(Viajeros!$C$5:$C$11,MATCH(F14,Viajeros!$B$5:$B$11,0))="","",INDEX(Viajeros!$C$5:$C$11,MATCH(F14,Viajeros!$B$5:$B$11,0))),""))</f>
        <v/>
      </c>
      <c r="H14" s="14">
        <f>IF(F14="","",IFERROR(INDEX(Viajeros!$D$5:$D$11,MATCH(F14,Viajeros!$B$5:$B$11,0))&amp;"",""))</f>
        <v/>
      </c>
      <c r="I14" s="13">
        <f>IF(F14="","",IFERROR(IF(INDEX(Viajeros!$E$5:$E$11,MATCH(F14,Viajeros!$B$5:$B$11,0))="","",INDEX(Viajeros!$E$5:$E$11,MATCH(F14,Viajeros!$B$5:$B$11,0))),""))</f>
        <v/>
      </c>
      <c r="J14" s="5" t="n"/>
    </row>
    <row r="15">
      <c r="A15" s="6" t="n"/>
      <c r="B15" s="5" t="n"/>
      <c r="C15" s="12" t="n"/>
      <c r="D15" s="5" t="n"/>
      <c r="E15" s="5" t="n"/>
      <c r="F15" s="5" t="n"/>
      <c r="G15" s="13">
        <f>IF(F15="","",IFERROR(IF(INDEX(Viajeros!$C$5:$C$11,MATCH(F15,Viajeros!$B$5:$B$11,0))="","",INDEX(Viajeros!$C$5:$C$11,MATCH(F15,Viajeros!$B$5:$B$11,0))),""))</f>
        <v/>
      </c>
      <c r="H15" s="14">
        <f>IF(F15="","",IFERROR(INDEX(Viajeros!$D$5:$D$11,MATCH(F15,Viajeros!$B$5:$B$11,0))&amp;"",""))</f>
        <v/>
      </c>
      <c r="I15" s="13">
        <f>IF(F15="","",IFERROR(IF(INDEX(Viajeros!$E$5:$E$11,MATCH(F15,Viajeros!$B$5:$B$11,0))="","",INDEX(Viajeros!$E$5:$E$11,MATCH(F15,Viajeros!$B$5:$B$11,0))),""))</f>
        <v/>
      </c>
      <c r="J15" s="5" t="n"/>
    </row>
    <row r="16">
      <c r="A16" s="6" t="n"/>
      <c r="B16" s="5" t="n"/>
      <c r="C16" s="12" t="n"/>
      <c r="D16" s="5" t="n"/>
      <c r="E16" s="5" t="n"/>
      <c r="F16" s="5" t="n"/>
      <c r="G16" s="13">
        <f>IF(F16="","",IFERROR(IF(INDEX(Viajeros!$C$5:$C$11,MATCH(F16,Viajeros!$B$5:$B$11,0))="","",INDEX(Viajeros!$C$5:$C$11,MATCH(F16,Viajeros!$B$5:$B$11,0))),""))</f>
        <v/>
      </c>
      <c r="H16" s="14">
        <f>IF(F16="","",IFERROR(INDEX(Viajeros!$D$5:$D$11,MATCH(F16,Viajeros!$B$5:$B$11,0))&amp;"",""))</f>
        <v/>
      </c>
      <c r="I16" s="13">
        <f>IF(F16="","",IFERROR(IF(INDEX(Viajeros!$E$5:$E$11,MATCH(F16,Viajeros!$B$5:$B$11,0))="","",INDEX(Viajeros!$E$5:$E$11,MATCH(F16,Viajeros!$B$5:$B$11,0))),""))</f>
        <v/>
      </c>
      <c r="J16" s="5" t="n"/>
    </row>
    <row r="17">
      <c r="A17" s="6" t="n"/>
      <c r="B17" s="5" t="n"/>
      <c r="C17" s="12" t="n"/>
      <c r="D17" s="5" t="n"/>
      <c r="E17" s="5" t="n"/>
      <c r="F17" s="5" t="n"/>
      <c r="G17" s="13">
        <f>IF(F17="","",IFERROR(IF(INDEX(Viajeros!$C$5:$C$11,MATCH(F17,Viajeros!$B$5:$B$11,0))="","",INDEX(Viajeros!$C$5:$C$11,MATCH(F17,Viajeros!$B$5:$B$11,0))),""))</f>
        <v/>
      </c>
      <c r="H17" s="14">
        <f>IF(F17="","",IFERROR(INDEX(Viajeros!$D$5:$D$11,MATCH(F17,Viajeros!$B$5:$B$11,0))&amp;"",""))</f>
        <v/>
      </c>
      <c r="I17" s="13">
        <f>IF(F17="","",IFERROR(IF(INDEX(Viajeros!$E$5:$E$11,MATCH(F17,Viajeros!$B$5:$B$11,0))="","",INDEX(Viajeros!$E$5:$E$11,MATCH(F17,Viajeros!$B$5:$B$11,0))),""))</f>
        <v/>
      </c>
      <c r="J17" s="5" t="n"/>
    </row>
    <row r="18">
      <c r="A18" s="6" t="n"/>
      <c r="B18" s="5" t="n"/>
      <c r="C18" s="12" t="n"/>
      <c r="D18" s="5" t="n"/>
      <c r="E18" s="5" t="n"/>
      <c r="F18" s="5" t="n"/>
      <c r="G18" s="13">
        <f>IF(F18="","",IFERROR(IF(INDEX(Viajeros!$C$5:$C$11,MATCH(F18,Viajeros!$B$5:$B$11,0))="","",INDEX(Viajeros!$C$5:$C$11,MATCH(F18,Viajeros!$B$5:$B$11,0))),""))</f>
        <v/>
      </c>
      <c r="H18" s="14">
        <f>IF(F18="","",IFERROR(INDEX(Viajeros!$D$5:$D$11,MATCH(F18,Viajeros!$B$5:$B$11,0))&amp;"",""))</f>
        <v/>
      </c>
      <c r="I18" s="13">
        <f>IF(F18="","",IFERROR(IF(INDEX(Viajeros!$E$5:$E$11,MATCH(F18,Viajeros!$B$5:$B$11,0))="","",INDEX(Viajeros!$E$5:$E$11,MATCH(F18,Viajeros!$B$5:$B$11,0))),""))</f>
        <v/>
      </c>
      <c r="J18" s="5" t="n"/>
    </row>
    <row r="19">
      <c r="A19" s="6" t="n"/>
      <c r="B19" s="5" t="n"/>
      <c r="C19" s="12" t="n"/>
      <c r="D19" s="5" t="n"/>
      <c r="E19" s="5" t="n"/>
      <c r="F19" s="5" t="n"/>
      <c r="G19" s="13">
        <f>IF(F19="","",IFERROR(IF(INDEX(Viajeros!$C$5:$C$11,MATCH(F19,Viajeros!$B$5:$B$11,0))="","",INDEX(Viajeros!$C$5:$C$11,MATCH(F19,Viajeros!$B$5:$B$11,0))),""))</f>
        <v/>
      </c>
      <c r="H19" s="14">
        <f>IF(F19="","",IFERROR(INDEX(Viajeros!$D$5:$D$11,MATCH(F19,Viajeros!$B$5:$B$11,0))&amp;"",""))</f>
        <v/>
      </c>
      <c r="I19" s="13">
        <f>IF(F19="","",IFERROR(IF(INDEX(Viajeros!$E$5:$E$11,MATCH(F19,Viajeros!$B$5:$B$11,0))="","",INDEX(Viajeros!$E$5:$E$11,MATCH(F19,Viajeros!$B$5:$B$11,0))),""))</f>
        <v/>
      </c>
      <c r="J19" s="5" t="n"/>
    </row>
    <row r="20">
      <c r="A20" s="6" t="n"/>
      <c r="B20" s="5" t="n"/>
      <c r="C20" s="12" t="n"/>
      <c r="D20" s="5" t="n"/>
      <c r="E20" s="5" t="n"/>
      <c r="F20" s="5" t="n"/>
      <c r="G20" s="13">
        <f>IF(F20="","",IFERROR(IF(INDEX(Viajeros!$C$5:$C$11,MATCH(F20,Viajeros!$B$5:$B$11,0))="","",INDEX(Viajeros!$C$5:$C$11,MATCH(F20,Viajeros!$B$5:$B$11,0))),""))</f>
        <v/>
      </c>
      <c r="H20" s="14">
        <f>IF(F20="","",IFERROR(INDEX(Viajeros!$D$5:$D$11,MATCH(F20,Viajeros!$B$5:$B$11,0))&amp;"",""))</f>
        <v/>
      </c>
      <c r="I20" s="13">
        <f>IF(F20="","",IFERROR(IF(INDEX(Viajeros!$E$5:$E$11,MATCH(F20,Viajeros!$B$5:$B$11,0))="","",INDEX(Viajeros!$E$5:$E$11,MATCH(F20,Viajeros!$B$5:$B$11,0))),""))</f>
        <v/>
      </c>
      <c r="J20" s="5" t="n"/>
    </row>
    <row r="21">
      <c r="A21" s="6" t="n"/>
      <c r="B21" s="5" t="n"/>
      <c r="C21" s="12" t="n"/>
      <c r="D21" s="5" t="n"/>
      <c r="E21" s="5" t="n"/>
      <c r="F21" s="5" t="n"/>
      <c r="G21" s="13">
        <f>IF(F21="","",IFERROR(IF(INDEX(Viajeros!$C$5:$C$11,MATCH(F21,Viajeros!$B$5:$B$11,0))="","",INDEX(Viajeros!$C$5:$C$11,MATCH(F21,Viajeros!$B$5:$B$11,0))),""))</f>
        <v/>
      </c>
      <c r="H21" s="14">
        <f>IF(F21="","",IFERROR(INDEX(Viajeros!$D$5:$D$11,MATCH(F21,Viajeros!$B$5:$B$11,0))&amp;"",""))</f>
        <v/>
      </c>
      <c r="I21" s="13">
        <f>IF(F21="","",IFERROR(IF(INDEX(Viajeros!$E$5:$E$11,MATCH(F21,Viajeros!$B$5:$B$11,0))="","",INDEX(Viajeros!$E$5:$E$11,MATCH(F21,Viajeros!$B$5:$B$11,0))),""))</f>
        <v/>
      </c>
      <c r="J21" s="5" t="n"/>
    </row>
    <row r="22">
      <c r="A22" s="6" t="n"/>
      <c r="B22" s="5" t="n"/>
      <c r="C22" s="12" t="n"/>
      <c r="D22" s="5" t="n"/>
      <c r="E22" s="5" t="n"/>
      <c r="F22" s="5" t="n"/>
      <c r="G22" s="13">
        <f>IF(F22="","",IFERROR(IF(INDEX(Viajeros!$C$5:$C$11,MATCH(F22,Viajeros!$B$5:$B$11,0))="","",INDEX(Viajeros!$C$5:$C$11,MATCH(F22,Viajeros!$B$5:$B$11,0))),""))</f>
        <v/>
      </c>
      <c r="H22" s="14">
        <f>IF(F22="","",IFERROR(INDEX(Viajeros!$D$5:$D$11,MATCH(F22,Viajeros!$B$5:$B$11,0))&amp;"",""))</f>
        <v/>
      </c>
      <c r="I22" s="13">
        <f>IF(F22="","",IFERROR(IF(INDEX(Viajeros!$E$5:$E$11,MATCH(F22,Viajeros!$B$5:$B$11,0))="","",INDEX(Viajeros!$E$5:$E$11,MATCH(F22,Viajeros!$B$5:$B$11,0))),""))</f>
        <v/>
      </c>
      <c r="J22" s="5" t="n"/>
    </row>
    <row r="23">
      <c r="A23" s="6" t="n"/>
      <c r="B23" s="5" t="n"/>
      <c r="C23" s="12" t="n"/>
      <c r="D23" s="5" t="n"/>
      <c r="E23" s="5" t="n"/>
      <c r="F23" s="5" t="n"/>
      <c r="G23" s="13">
        <f>IF(F23="","",IFERROR(IF(INDEX(Viajeros!$C$5:$C$11,MATCH(F23,Viajeros!$B$5:$B$11,0))="","",INDEX(Viajeros!$C$5:$C$11,MATCH(F23,Viajeros!$B$5:$B$11,0))),""))</f>
        <v/>
      </c>
      <c r="H23" s="14">
        <f>IF(F23="","",IFERROR(INDEX(Viajeros!$D$5:$D$11,MATCH(F23,Viajeros!$B$5:$B$11,0))&amp;"",""))</f>
        <v/>
      </c>
      <c r="I23" s="13">
        <f>IF(F23="","",IFERROR(IF(INDEX(Viajeros!$E$5:$E$11,MATCH(F23,Viajeros!$B$5:$B$11,0))="","",INDEX(Viajeros!$E$5:$E$11,MATCH(F23,Viajeros!$B$5:$B$11,0))),""))</f>
        <v/>
      </c>
      <c r="J23" s="5" t="n"/>
    </row>
    <row r="24">
      <c r="A24" s="6" t="n"/>
      <c r="B24" s="5" t="n"/>
      <c r="C24" s="12" t="n"/>
      <c r="D24" s="5" t="n"/>
      <c r="E24" s="5" t="n"/>
      <c r="F24" s="5" t="n"/>
      <c r="G24" s="13">
        <f>IF(F24="","",IFERROR(IF(INDEX(Viajeros!$C$5:$C$11,MATCH(F24,Viajeros!$B$5:$B$11,0))="","",INDEX(Viajeros!$C$5:$C$11,MATCH(F24,Viajeros!$B$5:$B$11,0))),""))</f>
        <v/>
      </c>
      <c r="H24" s="14">
        <f>IF(F24="","",IFERROR(INDEX(Viajeros!$D$5:$D$11,MATCH(F24,Viajeros!$B$5:$B$11,0))&amp;"",""))</f>
        <v/>
      </c>
      <c r="I24" s="13">
        <f>IF(F24="","",IFERROR(IF(INDEX(Viajeros!$E$5:$E$11,MATCH(F24,Viajeros!$B$5:$B$11,0))="","",INDEX(Viajeros!$E$5:$E$11,MATCH(F24,Viajeros!$B$5:$B$11,0))),""))</f>
        <v/>
      </c>
      <c r="J24" s="5" t="n"/>
    </row>
    <row r="25">
      <c r="A25" s="6" t="n"/>
      <c r="B25" s="5" t="n"/>
      <c r="C25" s="12" t="n"/>
      <c r="D25" s="5" t="n"/>
      <c r="E25" s="5" t="n"/>
      <c r="F25" s="5" t="n"/>
      <c r="G25" s="13">
        <f>IF(F25="","",IFERROR(IF(INDEX(Viajeros!$C$5:$C$11,MATCH(F25,Viajeros!$B$5:$B$11,0))="","",INDEX(Viajeros!$C$5:$C$11,MATCH(F25,Viajeros!$B$5:$B$11,0))),""))</f>
        <v/>
      </c>
      <c r="H25" s="14">
        <f>IF(F25="","",IFERROR(INDEX(Viajeros!$D$5:$D$11,MATCH(F25,Viajeros!$B$5:$B$11,0))&amp;"",""))</f>
        <v/>
      </c>
      <c r="I25" s="13">
        <f>IF(F25="","",IFERROR(IF(INDEX(Viajeros!$E$5:$E$11,MATCH(F25,Viajeros!$B$5:$B$11,0))="","",INDEX(Viajeros!$E$5:$E$11,MATCH(F25,Viajeros!$B$5:$B$11,0))),""))</f>
        <v/>
      </c>
      <c r="J25" s="5" t="n"/>
    </row>
    <row r="26">
      <c r="A26" s="6" t="n"/>
      <c r="B26" s="5" t="n"/>
      <c r="C26" s="12" t="n"/>
      <c r="D26" s="5" t="n"/>
      <c r="E26" s="5" t="n"/>
      <c r="F26" s="5" t="n"/>
      <c r="G26" s="13">
        <f>IF(F26="","",IFERROR(IF(INDEX(Viajeros!$C$5:$C$11,MATCH(F26,Viajeros!$B$5:$B$11,0))="","",INDEX(Viajeros!$C$5:$C$11,MATCH(F26,Viajeros!$B$5:$B$11,0))),""))</f>
        <v/>
      </c>
      <c r="H26" s="14">
        <f>IF(F26="","",IFERROR(INDEX(Viajeros!$D$5:$D$11,MATCH(F26,Viajeros!$B$5:$B$11,0))&amp;"",""))</f>
        <v/>
      </c>
      <c r="I26" s="13">
        <f>IF(F26="","",IFERROR(IF(INDEX(Viajeros!$E$5:$E$11,MATCH(F26,Viajeros!$B$5:$B$11,0))="","",INDEX(Viajeros!$E$5:$E$11,MATCH(F26,Viajeros!$B$5:$B$11,0))),""))</f>
        <v/>
      </c>
      <c r="J26" s="5" t="n"/>
    </row>
    <row r="27">
      <c r="A27" s="6" t="n"/>
      <c r="B27" s="5" t="n"/>
      <c r="C27" s="12" t="n"/>
      <c r="D27" s="5" t="n"/>
      <c r="E27" s="5" t="n"/>
      <c r="F27" s="5" t="n"/>
      <c r="G27" s="13">
        <f>IF(F27="","",IFERROR(IF(INDEX(Viajeros!$C$5:$C$11,MATCH(F27,Viajeros!$B$5:$B$11,0))="","",INDEX(Viajeros!$C$5:$C$11,MATCH(F27,Viajeros!$B$5:$B$11,0))),""))</f>
        <v/>
      </c>
      <c r="H27" s="14">
        <f>IF(F27="","",IFERROR(INDEX(Viajeros!$D$5:$D$11,MATCH(F27,Viajeros!$B$5:$B$11,0))&amp;"",""))</f>
        <v/>
      </c>
      <c r="I27" s="13">
        <f>IF(F27="","",IFERROR(IF(INDEX(Viajeros!$E$5:$E$11,MATCH(F27,Viajeros!$B$5:$B$11,0))="","",INDEX(Viajeros!$E$5:$E$11,MATCH(F27,Viajeros!$B$5:$B$11,0))),""))</f>
        <v/>
      </c>
      <c r="J27" s="5" t="n"/>
    </row>
    <row r="28">
      <c r="A28" s="6" t="n"/>
      <c r="B28" s="5" t="n"/>
      <c r="C28" s="12" t="n"/>
      <c r="D28" s="5" t="n"/>
      <c r="E28" s="5" t="n"/>
      <c r="F28" s="5" t="n"/>
      <c r="G28" s="13">
        <f>IF(F28="","",IFERROR(IF(INDEX(Viajeros!$C$5:$C$11,MATCH(F28,Viajeros!$B$5:$B$11,0))="","",INDEX(Viajeros!$C$5:$C$11,MATCH(F28,Viajeros!$B$5:$B$11,0))),""))</f>
        <v/>
      </c>
      <c r="H28" s="14">
        <f>IF(F28="","",IFERROR(INDEX(Viajeros!$D$5:$D$11,MATCH(F28,Viajeros!$B$5:$B$11,0))&amp;"",""))</f>
        <v/>
      </c>
      <c r="I28" s="13">
        <f>IF(F28="","",IFERROR(IF(INDEX(Viajeros!$E$5:$E$11,MATCH(F28,Viajeros!$B$5:$B$11,0))="","",INDEX(Viajeros!$E$5:$E$11,MATCH(F28,Viajeros!$B$5:$B$11,0))),""))</f>
        <v/>
      </c>
      <c r="J28" s="5" t="n"/>
    </row>
    <row r="29">
      <c r="A29" s="6" t="n"/>
      <c r="B29" s="5" t="n"/>
      <c r="C29" s="12" t="n"/>
      <c r="D29" s="5" t="n"/>
      <c r="E29" s="5" t="n"/>
      <c r="F29" s="5" t="n"/>
      <c r="G29" s="13">
        <f>IF(F29="","",IFERROR(IF(INDEX(Viajeros!$C$5:$C$11,MATCH(F29,Viajeros!$B$5:$B$11,0))="","",INDEX(Viajeros!$C$5:$C$11,MATCH(F29,Viajeros!$B$5:$B$11,0))),""))</f>
        <v/>
      </c>
      <c r="H29" s="14">
        <f>IF(F29="","",IFERROR(INDEX(Viajeros!$D$5:$D$11,MATCH(F29,Viajeros!$B$5:$B$11,0))&amp;"",""))</f>
        <v/>
      </c>
      <c r="I29" s="13">
        <f>IF(F29="","",IFERROR(IF(INDEX(Viajeros!$E$5:$E$11,MATCH(F29,Viajeros!$B$5:$B$11,0))="","",INDEX(Viajeros!$E$5:$E$11,MATCH(F29,Viajeros!$B$5:$B$11,0))),""))</f>
        <v/>
      </c>
      <c r="J29" s="5" t="n"/>
    </row>
    <row r="30">
      <c r="A30" s="6" t="n"/>
      <c r="B30" s="5" t="n"/>
      <c r="C30" s="12" t="n"/>
      <c r="D30" s="5" t="n"/>
      <c r="E30" s="5" t="n"/>
      <c r="F30" s="5" t="n"/>
      <c r="G30" s="13">
        <f>IF(F30="","",IFERROR(IF(INDEX(Viajeros!$C$5:$C$11,MATCH(F30,Viajeros!$B$5:$B$11,0))="","",INDEX(Viajeros!$C$5:$C$11,MATCH(F30,Viajeros!$B$5:$B$11,0))),""))</f>
        <v/>
      </c>
      <c r="H30" s="14">
        <f>IF(F30="","",IFERROR(INDEX(Viajeros!$D$5:$D$11,MATCH(F30,Viajeros!$B$5:$B$11,0))&amp;"",""))</f>
        <v/>
      </c>
      <c r="I30" s="13">
        <f>IF(F30="","",IFERROR(IF(INDEX(Viajeros!$E$5:$E$11,MATCH(F30,Viajeros!$B$5:$B$11,0))="","",INDEX(Viajeros!$E$5:$E$11,MATCH(F30,Viajeros!$B$5:$B$11,0))),""))</f>
        <v/>
      </c>
      <c r="J30" s="5" t="n"/>
    </row>
    <row r="31">
      <c r="A31" s="6" t="n"/>
      <c r="B31" s="5" t="n"/>
      <c r="C31" s="12" t="n"/>
      <c r="D31" s="5" t="n"/>
      <c r="E31" s="5" t="n"/>
      <c r="F31" s="5" t="n"/>
      <c r="G31" s="13">
        <f>IF(F31="","",IFERROR(IF(INDEX(Viajeros!$C$5:$C$11,MATCH(F31,Viajeros!$B$5:$B$11,0))="","",INDEX(Viajeros!$C$5:$C$11,MATCH(F31,Viajeros!$B$5:$B$11,0))),""))</f>
        <v/>
      </c>
      <c r="H31" s="14">
        <f>IF(F31="","",IFERROR(INDEX(Viajeros!$D$5:$D$11,MATCH(F31,Viajeros!$B$5:$B$11,0))&amp;"",""))</f>
        <v/>
      </c>
      <c r="I31" s="13">
        <f>IF(F31="","",IFERROR(IF(INDEX(Viajeros!$E$5:$E$11,MATCH(F31,Viajeros!$B$5:$B$11,0))="","",INDEX(Viajeros!$E$5:$E$11,MATCH(F31,Viajeros!$B$5:$B$11,0))),""))</f>
        <v/>
      </c>
      <c r="J31" s="5" t="n"/>
    </row>
    <row r="32">
      <c r="A32" s="6" t="n"/>
      <c r="B32" s="5" t="n"/>
      <c r="C32" s="12" t="n"/>
      <c r="D32" s="5" t="n"/>
      <c r="E32" s="5" t="n"/>
      <c r="F32" s="5" t="n"/>
      <c r="G32" s="13">
        <f>IF(F32="","",IFERROR(IF(INDEX(Viajeros!$C$5:$C$11,MATCH(F32,Viajeros!$B$5:$B$11,0))="","",INDEX(Viajeros!$C$5:$C$11,MATCH(F32,Viajeros!$B$5:$B$11,0))),""))</f>
        <v/>
      </c>
      <c r="H32" s="14">
        <f>IF(F32="","",IFERROR(INDEX(Viajeros!$D$5:$D$11,MATCH(F32,Viajeros!$B$5:$B$11,0))&amp;"",""))</f>
        <v/>
      </c>
      <c r="I32" s="13">
        <f>IF(F32="","",IFERROR(IF(INDEX(Viajeros!$E$5:$E$11,MATCH(F32,Viajeros!$B$5:$B$11,0))="","",INDEX(Viajeros!$E$5:$E$11,MATCH(F32,Viajeros!$B$5:$B$11,0))),""))</f>
        <v/>
      </c>
      <c r="J32" s="5" t="n"/>
    </row>
    <row r="33">
      <c r="A33" s="6" t="n"/>
      <c r="B33" s="5" t="n"/>
      <c r="C33" s="12" t="n"/>
      <c r="D33" s="5" t="n"/>
      <c r="E33" s="5" t="n"/>
      <c r="F33" s="5" t="n"/>
      <c r="G33" s="13">
        <f>IF(F33="","",IFERROR(IF(INDEX(Viajeros!$C$5:$C$11,MATCH(F33,Viajeros!$B$5:$B$11,0))="","",INDEX(Viajeros!$C$5:$C$11,MATCH(F33,Viajeros!$B$5:$B$11,0))),""))</f>
        <v/>
      </c>
      <c r="H33" s="14">
        <f>IF(F33="","",IFERROR(INDEX(Viajeros!$D$5:$D$11,MATCH(F33,Viajeros!$B$5:$B$11,0))&amp;"",""))</f>
        <v/>
      </c>
      <c r="I33" s="13">
        <f>IF(F33="","",IFERROR(IF(INDEX(Viajeros!$E$5:$E$11,MATCH(F33,Viajeros!$B$5:$B$11,0))="","",INDEX(Viajeros!$E$5:$E$11,MATCH(F33,Viajeros!$B$5:$B$11,0))),""))</f>
        <v/>
      </c>
      <c r="J33" s="5" t="n"/>
    </row>
    <row r="34">
      <c r="A34" s="6" t="n"/>
      <c r="B34" s="5" t="n"/>
      <c r="C34" s="12" t="n"/>
      <c r="D34" s="5" t="n"/>
      <c r="E34" s="5" t="n"/>
      <c r="F34" s="5" t="n"/>
      <c r="G34" s="13">
        <f>IF(F34="","",IFERROR(IF(INDEX(Viajeros!$C$5:$C$11,MATCH(F34,Viajeros!$B$5:$B$11,0))="","",INDEX(Viajeros!$C$5:$C$11,MATCH(F34,Viajeros!$B$5:$B$11,0))),""))</f>
        <v/>
      </c>
      <c r="H34" s="14">
        <f>IF(F34="","",IFERROR(INDEX(Viajeros!$D$5:$D$11,MATCH(F34,Viajeros!$B$5:$B$11,0))&amp;"",""))</f>
        <v/>
      </c>
      <c r="I34" s="13">
        <f>IF(F34="","",IFERROR(IF(INDEX(Viajeros!$E$5:$E$11,MATCH(F34,Viajeros!$B$5:$B$11,0))="","",INDEX(Viajeros!$E$5:$E$11,MATCH(F34,Viajeros!$B$5:$B$11,0))),""))</f>
        <v/>
      </c>
      <c r="J34" s="5" t="n"/>
    </row>
    <row r="35">
      <c r="A35" s="6" t="n"/>
      <c r="B35" s="5" t="n"/>
      <c r="C35" s="12" t="n"/>
      <c r="D35" s="5" t="n"/>
      <c r="E35" s="5" t="n"/>
      <c r="F35" s="5" t="n"/>
      <c r="G35" s="13">
        <f>IF(F35="","",IFERROR(IF(INDEX(Viajeros!$C$5:$C$11,MATCH(F35,Viajeros!$B$5:$B$11,0))="","",INDEX(Viajeros!$C$5:$C$11,MATCH(F35,Viajeros!$B$5:$B$11,0))),""))</f>
        <v/>
      </c>
      <c r="H35" s="14">
        <f>IF(F35="","",IFERROR(INDEX(Viajeros!$D$5:$D$11,MATCH(F35,Viajeros!$B$5:$B$11,0))&amp;"",""))</f>
        <v/>
      </c>
      <c r="I35" s="13">
        <f>IF(F35="","",IFERROR(IF(INDEX(Viajeros!$E$5:$E$11,MATCH(F35,Viajeros!$B$5:$B$11,0))="","",INDEX(Viajeros!$E$5:$E$11,MATCH(F35,Viajeros!$B$5:$B$11,0))),""))</f>
        <v/>
      </c>
      <c r="J35" s="5" t="n"/>
    </row>
    <row r="36">
      <c r="A36" s="6" t="n"/>
      <c r="B36" s="5" t="n"/>
      <c r="C36" s="12" t="n"/>
      <c r="D36" s="5" t="n"/>
      <c r="E36" s="5" t="n"/>
      <c r="F36" s="5" t="n"/>
      <c r="G36" s="13">
        <f>IF(F36="","",IFERROR(IF(INDEX(Viajeros!$C$5:$C$11,MATCH(F36,Viajeros!$B$5:$B$11,0))="","",INDEX(Viajeros!$C$5:$C$11,MATCH(F36,Viajeros!$B$5:$B$11,0))),""))</f>
        <v/>
      </c>
      <c r="H36" s="14">
        <f>IF(F36="","",IFERROR(INDEX(Viajeros!$D$5:$D$11,MATCH(F36,Viajeros!$B$5:$B$11,0))&amp;"",""))</f>
        <v/>
      </c>
      <c r="I36" s="13">
        <f>IF(F36="","",IFERROR(IF(INDEX(Viajeros!$E$5:$E$11,MATCH(F36,Viajeros!$B$5:$B$11,0))="","",INDEX(Viajeros!$E$5:$E$11,MATCH(F36,Viajeros!$B$5:$B$11,0))),""))</f>
        <v/>
      </c>
      <c r="J36" s="5" t="n"/>
    </row>
    <row r="37">
      <c r="A37" s="6" t="n"/>
      <c r="B37" s="5" t="n"/>
      <c r="C37" s="12" t="n"/>
      <c r="D37" s="5" t="n"/>
      <c r="E37" s="5" t="n"/>
      <c r="F37" s="5" t="n"/>
      <c r="G37" s="13">
        <f>IF(F37="","",IFERROR(IF(INDEX(Viajeros!$C$5:$C$11,MATCH(F37,Viajeros!$B$5:$B$11,0))="","",INDEX(Viajeros!$C$5:$C$11,MATCH(F37,Viajeros!$B$5:$B$11,0))),""))</f>
        <v/>
      </c>
      <c r="H37" s="14">
        <f>IF(F37="","",IFERROR(INDEX(Viajeros!$D$5:$D$11,MATCH(F37,Viajeros!$B$5:$B$11,0))&amp;"",""))</f>
        <v/>
      </c>
      <c r="I37" s="13">
        <f>IF(F37="","",IFERROR(IF(INDEX(Viajeros!$E$5:$E$11,MATCH(F37,Viajeros!$B$5:$B$11,0))="","",INDEX(Viajeros!$E$5:$E$11,MATCH(F37,Viajeros!$B$5:$B$11,0))),""))</f>
        <v/>
      </c>
      <c r="J37" s="5" t="n"/>
    </row>
    <row r="38">
      <c r="A38" s="6" t="n"/>
      <c r="B38" s="5" t="n"/>
      <c r="C38" s="12" t="n"/>
      <c r="D38" s="5" t="n"/>
      <c r="E38" s="5" t="n"/>
      <c r="F38" s="5" t="n"/>
      <c r="G38" s="13">
        <f>IF(F38="","",IFERROR(IF(INDEX(Viajeros!$C$5:$C$11,MATCH(F38,Viajeros!$B$5:$B$11,0))="","",INDEX(Viajeros!$C$5:$C$11,MATCH(F38,Viajeros!$B$5:$B$11,0))),""))</f>
        <v/>
      </c>
      <c r="H38" s="14">
        <f>IF(F38="","",IFERROR(INDEX(Viajeros!$D$5:$D$11,MATCH(F38,Viajeros!$B$5:$B$11,0))&amp;"",""))</f>
        <v/>
      </c>
      <c r="I38" s="13">
        <f>IF(F38="","",IFERROR(IF(INDEX(Viajeros!$E$5:$E$11,MATCH(F38,Viajeros!$B$5:$B$11,0))="","",INDEX(Viajeros!$E$5:$E$11,MATCH(F38,Viajeros!$B$5:$B$11,0))),""))</f>
        <v/>
      </c>
      <c r="J38" s="5" t="n"/>
    </row>
    <row r="39">
      <c r="A39" s="6" t="n"/>
      <c r="B39" s="5" t="n"/>
      <c r="C39" s="12" t="n"/>
      <c r="D39" s="5" t="n"/>
      <c r="E39" s="5" t="n"/>
      <c r="F39" s="5" t="n"/>
      <c r="G39" s="13">
        <f>IF(F39="","",IFERROR(IF(INDEX(Viajeros!$C$5:$C$11,MATCH(F39,Viajeros!$B$5:$B$11,0))="","",INDEX(Viajeros!$C$5:$C$11,MATCH(F39,Viajeros!$B$5:$B$11,0))),""))</f>
        <v/>
      </c>
      <c r="H39" s="14">
        <f>IF(F39="","",IFERROR(INDEX(Viajeros!$D$5:$D$11,MATCH(F39,Viajeros!$B$5:$B$11,0))&amp;"",""))</f>
        <v/>
      </c>
      <c r="I39" s="13">
        <f>IF(F39="","",IFERROR(IF(INDEX(Viajeros!$E$5:$E$11,MATCH(F39,Viajeros!$B$5:$B$11,0))="","",INDEX(Viajeros!$E$5:$E$11,MATCH(F39,Viajeros!$B$5:$B$11,0))),""))</f>
        <v/>
      </c>
      <c r="J39" s="5" t="n"/>
    </row>
    <row r="40">
      <c r="A40" s="6" t="n"/>
      <c r="B40" s="5" t="n"/>
      <c r="C40" s="12" t="n"/>
      <c r="D40" s="5" t="n"/>
      <c r="E40" s="5" t="n"/>
      <c r="F40" s="5" t="n"/>
      <c r="G40" s="13">
        <f>IF(F40="","",IFERROR(IF(INDEX(Viajeros!$C$5:$C$11,MATCH(F40,Viajeros!$B$5:$B$11,0))="","",INDEX(Viajeros!$C$5:$C$11,MATCH(F40,Viajeros!$B$5:$B$11,0))),""))</f>
        <v/>
      </c>
      <c r="H40" s="14">
        <f>IF(F40="","",IFERROR(INDEX(Viajeros!$D$5:$D$11,MATCH(F40,Viajeros!$B$5:$B$11,0))&amp;"",""))</f>
        <v/>
      </c>
      <c r="I40" s="13">
        <f>IF(F40="","",IFERROR(IF(INDEX(Viajeros!$E$5:$E$11,MATCH(F40,Viajeros!$B$5:$B$11,0))="","",INDEX(Viajeros!$E$5:$E$11,MATCH(F40,Viajeros!$B$5:$B$11,0))),""))</f>
        <v/>
      </c>
      <c r="J40" s="5" t="n"/>
    </row>
    <row r="41">
      <c r="A41" s="6" t="n"/>
      <c r="B41" s="5" t="n"/>
      <c r="C41" s="12" t="n"/>
      <c r="D41" s="5" t="n"/>
      <c r="E41" s="5" t="n"/>
      <c r="F41" s="5" t="n"/>
      <c r="G41" s="13">
        <f>IF(F41="","",IFERROR(IF(INDEX(Viajeros!$C$5:$C$11,MATCH(F41,Viajeros!$B$5:$B$11,0))="","",INDEX(Viajeros!$C$5:$C$11,MATCH(F41,Viajeros!$B$5:$B$11,0))),""))</f>
        <v/>
      </c>
      <c r="H41" s="14">
        <f>IF(F41="","",IFERROR(INDEX(Viajeros!$D$5:$D$11,MATCH(F41,Viajeros!$B$5:$B$11,0))&amp;"",""))</f>
        <v/>
      </c>
      <c r="I41" s="13">
        <f>IF(F41="","",IFERROR(IF(INDEX(Viajeros!$E$5:$E$11,MATCH(F41,Viajeros!$B$5:$B$11,0))="","",INDEX(Viajeros!$E$5:$E$11,MATCH(F41,Viajeros!$B$5:$B$11,0))),""))</f>
        <v/>
      </c>
      <c r="J41" s="5" t="n"/>
    </row>
    <row r="42">
      <c r="A42" s="6" t="n"/>
      <c r="B42" s="5" t="n"/>
      <c r="C42" s="12" t="n"/>
      <c r="D42" s="5" t="n"/>
      <c r="E42" s="5" t="n"/>
      <c r="F42" s="5" t="n"/>
      <c r="G42" s="13">
        <f>IF(F42="","",IFERROR(IF(INDEX(Viajeros!$C$5:$C$11,MATCH(F42,Viajeros!$B$5:$B$11,0))="","",INDEX(Viajeros!$C$5:$C$11,MATCH(F42,Viajeros!$B$5:$B$11,0))),""))</f>
        <v/>
      </c>
      <c r="H42" s="14">
        <f>IF(F42="","",IFERROR(INDEX(Viajeros!$D$5:$D$11,MATCH(F42,Viajeros!$B$5:$B$11,0))&amp;"",""))</f>
        <v/>
      </c>
      <c r="I42" s="13">
        <f>IF(F42="","",IFERROR(IF(INDEX(Viajeros!$E$5:$E$11,MATCH(F42,Viajeros!$B$5:$B$11,0))="","",INDEX(Viajeros!$E$5:$E$11,MATCH(F42,Viajeros!$B$5:$B$11,0))),""))</f>
        <v/>
      </c>
      <c r="J42" s="5" t="n"/>
    </row>
    <row r="43">
      <c r="A43" s="6" t="n"/>
      <c r="B43" s="5" t="n"/>
      <c r="C43" s="12" t="n"/>
      <c r="D43" s="5" t="n"/>
      <c r="E43" s="5" t="n"/>
      <c r="F43" s="5" t="n"/>
      <c r="G43" s="13">
        <f>IF(F43="","",IFERROR(IF(INDEX(Viajeros!$C$5:$C$11,MATCH(F43,Viajeros!$B$5:$B$11,0))="","",INDEX(Viajeros!$C$5:$C$11,MATCH(F43,Viajeros!$B$5:$B$11,0))),""))</f>
        <v/>
      </c>
      <c r="H43" s="14">
        <f>IF(F43="","",IFERROR(INDEX(Viajeros!$D$5:$D$11,MATCH(F43,Viajeros!$B$5:$B$11,0))&amp;"",""))</f>
        <v/>
      </c>
      <c r="I43" s="13">
        <f>IF(F43="","",IFERROR(IF(INDEX(Viajeros!$E$5:$E$11,MATCH(F43,Viajeros!$B$5:$B$11,0))="","",INDEX(Viajeros!$E$5:$E$11,MATCH(F43,Viajeros!$B$5:$B$11,0))),""))</f>
        <v/>
      </c>
      <c r="J43" s="5" t="n"/>
    </row>
    <row r="44">
      <c r="A44" s="6" t="n"/>
      <c r="B44" s="5" t="n"/>
      <c r="C44" s="12" t="n"/>
      <c r="D44" s="5" t="n"/>
      <c r="E44" s="5" t="n"/>
      <c r="F44" s="5" t="n"/>
      <c r="G44" s="13">
        <f>IF(F44="","",IFERROR(IF(INDEX(Viajeros!$C$5:$C$11,MATCH(F44,Viajeros!$B$5:$B$11,0))="","",INDEX(Viajeros!$C$5:$C$11,MATCH(F44,Viajeros!$B$5:$B$11,0))),""))</f>
        <v/>
      </c>
      <c r="H44" s="14">
        <f>IF(F44="","",IFERROR(INDEX(Viajeros!$D$5:$D$11,MATCH(F44,Viajeros!$B$5:$B$11,0))&amp;"",""))</f>
        <v/>
      </c>
      <c r="I44" s="13">
        <f>IF(F44="","",IFERROR(IF(INDEX(Viajeros!$E$5:$E$11,MATCH(F44,Viajeros!$B$5:$B$11,0))="","",INDEX(Viajeros!$E$5:$E$11,MATCH(F44,Viajeros!$B$5:$B$11,0))),""))</f>
        <v/>
      </c>
      <c r="J44" s="5" t="n"/>
    </row>
    <row r="45">
      <c r="A45" s="6" t="n"/>
      <c r="B45" s="5" t="n"/>
      <c r="C45" s="12" t="n"/>
      <c r="D45" s="5" t="n"/>
      <c r="E45" s="5" t="n"/>
      <c r="F45" s="5" t="n"/>
      <c r="G45" s="13">
        <f>IF(F45="","",IFERROR(IF(INDEX(Viajeros!$C$5:$C$11,MATCH(F45,Viajeros!$B$5:$B$11,0))="","",INDEX(Viajeros!$C$5:$C$11,MATCH(F45,Viajeros!$B$5:$B$11,0))),""))</f>
        <v/>
      </c>
      <c r="H45" s="14">
        <f>IF(F45="","",IFERROR(INDEX(Viajeros!$D$5:$D$11,MATCH(F45,Viajeros!$B$5:$B$11,0))&amp;"",""))</f>
        <v/>
      </c>
      <c r="I45" s="13">
        <f>IF(F45="","",IFERROR(IF(INDEX(Viajeros!$E$5:$E$11,MATCH(F45,Viajeros!$B$5:$B$11,0))="","",INDEX(Viajeros!$E$5:$E$11,MATCH(F45,Viajeros!$B$5:$B$11,0))),""))</f>
        <v/>
      </c>
      <c r="J45" s="5" t="n"/>
    </row>
    <row r="46">
      <c r="A46" s="6" t="n"/>
      <c r="B46" s="5" t="n"/>
      <c r="C46" s="12" t="n"/>
      <c r="D46" s="5" t="n"/>
      <c r="E46" s="5" t="n"/>
      <c r="F46" s="5" t="n"/>
      <c r="G46" s="13">
        <f>IF(F46="","",IFERROR(IF(INDEX(Viajeros!$C$5:$C$11,MATCH(F46,Viajeros!$B$5:$B$11,0))="","",INDEX(Viajeros!$C$5:$C$11,MATCH(F46,Viajeros!$B$5:$B$11,0))),""))</f>
        <v/>
      </c>
      <c r="H46" s="14">
        <f>IF(F46="","",IFERROR(INDEX(Viajeros!$D$5:$D$11,MATCH(F46,Viajeros!$B$5:$B$11,0))&amp;"",""))</f>
        <v/>
      </c>
      <c r="I46" s="13">
        <f>IF(F46="","",IFERROR(IF(INDEX(Viajeros!$E$5:$E$11,MATCH(F46,Viajeros!$B$5:$B$11,0))="","",INDEX(Viajeros!$E$5:$E$11,MATCH(F46,Viajeros!$B$5:$B$11,0))),""))</f>
        <v/>
      </c>
      <c r="J46" s="5" t="n"/>
    </row>
    <row r="47">
      <c r="A47" s="6" t="n"/>
      <c r="B47" s="5" t="n"/>
      <c r="C47" s="12" t="n"/>
      <c r="D47" s="5" t="n"/>
      <c r="E47" s="5" t="n"/>
      <c r="F47" s="5" t="n"/>
      <c r="G47" s="13">
        <f>IF(F47="","",IFERROR(IF(INDEX(Viajeros!$C$5:$C$11,MATCH(F47,Viajeros!$B$5:$B$11,0))="","",INDEX(Viajeros!$C$5:$C$11,MATCH(F47,Viajeros!$B$5:$B$11,0))),""))</f>
        <v/>
      </c>
      <c r="H47" s="14">
        <f>IF(F47="","",IFERROR(INDEX(Viajeros!$D$5:$D$11,MATCH(F47,Viajeros!$B$5:$B$11,0))&amp;"",""))</f>
        <v/>
      </c>
      <c r="I47" s="13">
        <f>IF(F47="","",IFERROR(IF(INDEX(Viajeros!$E$5:$E$11,MATCH(F47,Viajeros!$B$5:$B$11,0))="","",INDEX(Viajeros!$E$5:$E$11,MATCH(F47,Viajeros!$B$5:$B$11,0))),""))</f>
        <v/>
      </c>
      <c r="J47" s="5" t="n"/>
    </row>
    <row r="48">
      <c r="A48" s="6" t="n"/>
      <c r="B48" s="5" t="n"/>
      <c r="C48" s="12" t="n"/>
      <c r="D48" s="5" t="n"/>
      <c r="E48" s="5" t="n"/>
      <c r="F48" s="5" t="n"/>
      <c r="G48" s="13">
        <f>IF(F48="","",IFERROR(IF(INDEX(Viajeros!$C$5:$C$11,MATCH(F48,Viajeros!$B$5:$B$11,0))="","",INDEX(Viajeros!$C$5:$C$11,MATCH(F48,Viajeros!$B$5:$B$11,0))),""))</f>
        <v/>
      </c>
      <c r="H48" s="14">
        <f>IF(F48="","",IFERROR(INDEX(Viajeros!$D$5:$D$11,MATCH(F48,Viajeros!$B$5:$B$11,0))&amp;"",""))</f>
        <v/>
      </c>
      <c r="I48" s="13">
        <f>IF(F48="","",IFERROR(IF(INDEX(Viajeros!$E$5:$E$11,MATCH(F48,Viajeros!$B$5:$B$11,0))="","",INDEX(Viajeros!$E$5:$E$11,MATCH(F48,Viajeros!$B$5:$B$11,0))),""))</f>
        <v/>
      </c>
      <c r="J48" s="5" t="n"/>
    </row>
    <row r="49">
      <c r="A49" s="6" t="n"/>
      <c r="B49" s="5" t="n"/>
      <c r="C49" s="12" t="n"/>
      <c r="D49" s="5" t="n"/>
      <c r="E49" s="5" t="n"/>
      <c r="F49" s="5" t="n"/>
      <c r="G49" s="13">
        <f>IF(F49="","",IFERROR(IF(INDEX(Viajeros!$C$5:$C$11,MATCH(F49,Viajeros!$B$5:$B$11,0))="","",INDEX(Viajeros!$C$5:$C$11,MATCH(F49,Viajeros!$B$5:$B$11,0))),""))</f>
        <v/>
      </c>
      <c r="H49" s="14">
        <f>IF(F49="","",IFERROR(INDEX(Viajeros!$D$5:$D$11,MATCH(F49,Viajeros!$B$5:$B$11,0))&amp;"",""))</f>
        <v/>
      </c>
      <c r="I49" s="13">
        <f>IF(F49="","",IFERROR(IF(INDEX(Viajeros!$E$5:$E$11,MATCH(F49,Viajeros!$B$5:$B$11,0))="","",INDEX(Viajeros!$E$5:$E$11,MATCH(F49,Viajeros!$B$5:$B$11,0))),""))</f>
        <v/>
      </c>
      <c r="J49" s="5" t="n"/>
    </row>
    <row r="50">
      <c r="A50" s="6" t="n"/>
      <c r="B50" s="5" t="n"/>
      <c r="C50" s="12" t="n"/>
      <c r="D50" s="5" t="n"/>
      <c r="E50" s="5" t="n"/>
      <c r="F50" s="5" t="n"/>
      <c r="G50" s="13">
        <f>IF(F50="","",IFERROR(IF(INDEX(Viajeros!$C$5:$C$11,MATCH(F50,Viajeros!$B$5:$B$11,0))="","",INDEX(Viajeros!$C$5:$C$11,MATCH(F50,Viajeros!$B$5:$B$11,0))),""))</f>
        <v/>
      </c>
      <c r="H50" s="14">
        <f>IF(F50="","",IFERROR(INDEX(Viajeros!$D$5:$D$11,MATCH(F50,Viajeros!$B$5:$B$11,0))&amp;"",""))</f>
        <v/>
      </c>
      <c r="I50" s="13">
        <f>IF(F50="","",IFERROR(IF(INDEX(Viajeros!$E$5:$E$11,MATCH(F50,Viajeros!$B$5:$B$11,0))="","",INDEX(Viajeros!$E$5:$E$11,MATCH(F50,Viajeros!$B$5:$B$11,0))),""))</f>
        <v/>
      </c>
      <c r="J50" s="5" t="n"/>
    </row>
    <row r="51">
      <c r="A51" s="6" t="n"/>
      <c r="B51" s="5" t="n"/>
      <c r="C51" s="12" t="n"/>
      <c r="D51" s="5" t="n"/>
      <c r="E51" s="5" t="n"/>
      <c r="F51" s="5" t="n"/>
      <c r="G51" s="13">
        <f>IF(F51="","",IFERROR(IF(INDEX(Viajeros!$C$5:$C$11,MATCH(F51,Viajeros!$B$5:$B$11,0))="","",INDEX(Viajeros!$C$5:$C$11,MATCH(F51,Viajeros!$B$5:$B$11,0))),""))</f>
        <v/>
      </c>
      <c r="H51" s="14">
        <f>IF(F51="","",IFERROR(INDEX(Viajeros!$D$5:$D$11,MATCH(F51,Viajeros!$B$5:$B$11,0))&amp;"",""))</f>
        <v/>
      </c>
      <c r="I51" s="13">
        <f>IF(F51="","",IFERROR(IF(INDEX(Viajeros!$E$5:$E$11,MATCH(F51,Viajeros!$B$5:$B$11,0))="","",INDEX(Viajeros!$E$5:$E$11,MATCH(F51,Viajeros!$B$5:$B$11,0))),""))</f>
        <v/>
      </c>
      <c r="J51" s="5" t="n"/>
    </row>
    <row r="52">
      <c r="A52" s="6" t="n"/>
      <c r="B52" s="5" t="n"/>
      <c r="C52" s="12" t="n"/>
      <c r="D52" s="5" t="n"/>
      <c r="E52" s="5" t="n"/>
      <c r="F52" s="5" t="n"/>
      <c r="G52" s="13">
        <f>IF(F52="","",IFERROR(IF(INDEX(Viajeros!$C$5:$C$11,MATCH(F52,Viajeros!$B$5:$B$11,0))="","",INDEX(Viajeros!$C$5:$C$11,MATCH(F52,Viajeros!$B$5:$B$11,0))),""))</f>
        <v/>
      </c>
      <c r="H52" s="14">
        <f>IF(F52="","",IFERROR(INDEX(Viajeros!$D$5:$D$11,MATCH(F52,Viajeros!$B$5:$B$11,0))&amp;"",""))</f>
        <v/>
      </c>
      <c r="I52" s="13">
        <f>IF(F52="","",IFERROR(IF(INDEX(Viajeros!$E$5:$E$11,MATCH(F52,Viajeros!$B$5:$B$11,0))="","",INDEX(Viajeros!$E$5:$E$11,MATCH(F52,Viajeros!$B$5:$B$11,0))),""))</f>
        <v/>
      </c>
      <c r="J52" s="5" t="n"/>
    </row>
    <row r="53">
      <c r="A53" s="6" t="n"/>
      <c r="B53" s="5" t="n"/>
      <c r="C53" s="12" t="n"/>
      <c r="D53" s="5" t="n"/>
      <c r="E53" s="5" t="n"/>
      <c r="F53" s="5" t="n"/>
      <c r="G53" s="13">
        <f>IF(F53="","",IFERROR(IF(INDEX(Viajeros!$C$5:$C$11,MATCH(F53,Viajeros!$B$5:$B$11,0))="","",INDEX(Viajeros!$C$5:$C$11,MATCH(F53,Viajeros!$B$5:$B$11,0))),""))</f>
        <v/>
      </c>
      <c r="H53" s="14">
        <f>IF(F53="","",IFERROR(INDEX(Viajeros!$D$5:$D$11,MATCH(F53,Viajeros!$B$5:$B$11,0))&amp;"",""))</f>
        <v/>
      </c>
      <c r="I53" s="13">
        <f>IF(F53="","",IFERROR(IF(INDEX(Viajeros!$E$5:$E$11,MATCH(F53,Viajeros!$B$5:$B$11,0))="","",INDEX(Viajeros!$E$5:$E$11,MATCH(F53,Viajeros!$B$5:$B$11,0))),""))</f>
        <v/>
      </c>
      <c r="J53" s="5" t="n"/>
    </row>
    <row r="54">
      <c r="A54" s="6" t="n"/>
      <c r="B54" s="5" t="n"/>
      <c r="C54" s="12" t="n"/>
      <c r="D54" s="5" t="n"/>
      <c r="E54" s="5" t="n"/>
      <c r="F54" s="5" t="n"/>
      <c r="G54" s="13">
        <f>IF(F54="","",IFERROR(IF(INDEX(Viajeros!$C$5:$C$11,MATCH(F54,Viajeros!$B$5:$B$11,0))="","",INDEX(Viajeros!$C$5:$C$11,MATCH(F54,Viajeros!$B$5:$B$11,0))),""))</f>
        <v/>
      </c>
      <c r="H54" s="14">
        <f>IF(F54="","",IFERROR(INDEX(Viajeros!$D$5:$D$11,MATCH(F54,Viajeros!$B$5:$B$11,0))&amp;"",""))</f>
        <v/>
      </c>
      <c r="I54" s="13">
        <f>IF(F54="","",IFERROR(IF(INDEX(Viajeros!$E$5:$E$11,MATCH(F54,Viajeros!$B$5:$B$11,0))="","",INDEX(Viajeros!$E$5:$E$11,MATCH(F54,Viajeros!$B$5:$B$11,0))),""))</f>
        <v/>
      </c>
      <c r="J54" s="5" t="n"/>
    </row>
    <row r="55">
      <c r="A55" s="6" t="n"/>
      <c r="B55" s="5" t="n"/>
      <c r="C55" s="12" t="n"/>
      <c r="D55" s="5" t="n"/>
      <c r="E55" s="5" t="n"/>
      <c r="F55" s="5" t="n"/>
      <c r="G55" s="13">
        <f>IF(F55="","",IFERROR(IF(INDEX(Viajeros!$C$5:$C$11,MATCH(F55,Viajeros!$B$5:$B$11,0))="","",INDEX(Viajeros!$C$5:$C$11,MATCH(F55,Viajeros!$B$5:$B$11,0))),""))</f>
        <v/>
      </c>
      <c r="H55" s="14">
        <f>IF(F55="","",IFERROR(INDEX(Viajeros!$D$5:$D$11,MATCH(F55,Viajeros!$B$5:$B$11,0))&amp;"",""))</f>
        <v/>
      </c>
      <c r="I55" s="13">
        <f>IF(F55="","",IFERROR(IF(INDEX(Viajeros!$E$5:$E$11,MATCH(F55,Viajeros!$B$5:$B$11,0))="","",INDEX(Viajeros!$E$5:$E$11,MATCH(F55,Viajeros!$B$5:$B$11,0))),""))</f>
        <v/>
      </c>
      <c r="J55" s="5" t="n"/>
    </row>
    <row r="56">
      <c r="A56" s="6" t="n"/>
      <c r="B56" s="5" t="n"/>
      <c r="C56" s="12" t="n"/>
      <c r="D56" s="5" t="n"/>
      <c r="E56" s="5" t="n"/>
      <c r="F56" s="5" t="n"/>
      <c r="G56" s="13">
        <f>IF(F56="","",IFERROR(IF(INDEX(Viajeros!$C$5:$C$11,MATCH(F56,Viajeros!$B$5:$B$11,0))="","",INDEX(Viajeros!$C$5:$C$11,MATCH(F56,Viajeros!$B$5:$B$11,0))),""))</f>
        <v/>
      </c>
      <c r="H56" s="14">
        <f>IF(F56="","",IFERROR(INDEX(Viajeros!$D$5:$D$11,MATCH(F56,Viajeros!$B$5:$B$11,0))&amp;"",""))</f>
        <v/>
      </c>
      <c r="I56" s="13">
        <f>IF(F56="","",IFERROR(IF(INDEX(Viajeros!$E$5:$E$11,MATCH(F56,Viajeros!$B$5:$B$11,0))="","",INDEX(Viajeros!$E$5:$E$11,MATCH(F56,Viajeros!$B$5:$B$11,0))),""))</f>
        <v/>
      </c>
      <c r="J56" s="5" t="n"/>
    </row>
    <row r="57">
      <c r="A57" s="6" t="n"/>
      <c r="B57" s="5" t="n"/>
      <c r="C57" s="12" t="n"/>
      <c r="D57" s="5" t="n"/>
      <c r="E57" s="5" t="n"/>
      <c r="F57" s="5" t="n"/>
      <c r="G57" s="13">
        <f>IF(F57="","",IFERROR(IF(INDEX(Viajeros!$C$5:$C$11,MATCH(F57,Viajeros!$B$5:$B$11,0))="","",INDEX(Viajeros!$C$5:$C$11,MATCH(F57,Viajeros!$B$5:$B$11,0))),""))</f>
        <v/>
      </c>
      <c r="H57" s="14">
        <f>IF(F57="","",IFERROR(INDEX(Viajeros!$D$5:$D$11,MATCH(F57,Viajeros!$B$5:$B$11,0))&amp;"",""))</f>
        <v/>
      </c>
      <c r="I57" s="13">
        <f>IF(F57="","",IFERROR(IF(INDEX(Viajeros!$E$5:$E$11,MATCH(F57,Viajeros!$B$5:$B$11,0))="","",INDEX(Viajeros!$E$5:$E$11,MATCH(F57,Viajeros!$B$5:$B$11,0))),""))</f>
        <v/>
      </c>
      <c r="J57" s="5" t="n"/>
    </row>
    <row r="58">
      <c r="A58" s="6" t="n"/>
      <c r="B58" s="5" t="n"/>
      <c r="C58" s="12" t="n"/>
      <c r="D58" s="5" t="n"/>
      <c r="E58" s="5" t="n"/>
      <c r="F58" s="5" t="n"/>
      <c r="G58" s="13">
        <f>IF(F58="","",IFERROR(IF(INDEX(Viajeros!$C$5:$C$11,MATCH(F58,Viajeros!$B$5:$B$11,0))="","",INDEX(Viajeros!$C$5:$C$11,MATCH(F58,Viajeros!$B$5:$B$11,0))),""))</f>
        <v/>
      </c>
      <c r="H58" s="14">
        <f>IF(F58="","",IFERROR(INDEX(Viajeros!$D$5:$D$11,MATCH(F58,Viajeros!$B$5:$B$11,0))&amp;"",""))</f>
        <v/>
      </c>
      <c r="I58" s="13">
        <f>IF(F58="","",IFERROR(IF(INDEX(Viajeros!$E$5:$E$11,MATCH(F58,Viajeros!$B$5:$B$11,0))="","",INDEX(Viajeros!$E$5:$E$11,MATCH(F58,Viajeros!$B$5:$B$11,0))),""))</f>
        <v/>
      </c>
      <c r="J58" s="5" t="n"/>
    </row>
    <row r="59">
      <c r="A59" s="6" t="n"/>
      <c r="B59" s="5" t="n"/>
      <c r="C59" s="12" t="n"/>
      <c r="D59" s="5" t="n"/>
      <c r="E59" s="5" t="n"/>
      <c r="F59" s="5" t="n"/>
      <c r="G59" s="13">
        <f>IF(F59="","",IFERROR(IF(INDEX(Viajeros!$C$5:$C$11,MATCH(F59,Viajeros!$B$5:$B$11,0))="","",INDEX(Viajeros!$C$5:$C$11,MATCH(F59,Viajeros!$B$5:$B$11,0))),""))</f>
        <v/>
      </c>
      <c r="H59" s="14">
        <f>IF(F59="","",IFERROR(INDEX(Viajeros!$D$5:$D$11,MATCH(F59,Viajeros!$B$5:$B$11,0))&amp;"",""))</f>
        <v/>
      </c>
      <c r="I59" s="13">
        <f>IF(F59="","",IFERROR(IF(INDEX(Viajeros!$E$5:$E$11,MATCH(F59,Viajeros!$B$5:$B$11,0))="","",INDEX(Viajeros!$E$5:$E$11,MATCH(F59,Viajeros!$B$5:$B$11,0))),""))</f>
        <v/>
      </c>
      <c r="J59" s="5" t="n"/>
    </row>
    <row r="60">
      <c r="A60" s="6" t="n"/>
      <c r="B60" s="5" t="n"/>
      <c r="C60" s="12" t="n"/>
      <c r="D60" s="5" t="n"/>
      <c r="E60" s="5" t="n"/>
      <c r="F60" s="5" t="n"/>
      <c r="G60" s="13">
        <f>IF(F60="","",IFERROR(IF(INDEX(Viajeros!$C$5:$C$11,MATCH(F60,Viajeros!$B$5:$B$11,0))="","",INDEX(Viajeros!$C$5:$C$11,MATCH(F60,Viajeros!$B$5:$B$11,0))),""))</f>
        <v/>
      </c>
      <c r="H60" s="14">
        <f>IF(F60="","",IFERROR(INDEX(Viajeros!$D$5:$D$11,MATCH(F60,Viajeros!$B$5:$B$11,0))&amp;"",""))</f>
        <v/>
      </c>
      <c r="I60" s="13">
        <f>IF(F60="","",IFERROR(IF(INDEX(Viajeros!$E$5:$E$11,MATCH(F60,Viajeros!$B$5:$B$11,0))="","",INDEX(Viajeros!$E$5:$E$11,MATCH(F60,Viajeros!$B$5:$B$11,0))),""))</f>
        <v/>
      </c>
      <c r="J60" s="5" t="n"/>
    </row>
    <row r="61">
      <c r="A61" s="6" t="n"/>
      <c r="B61" s="5" t="n"/>
      <c r="C61" s="12" t="n"/>
      <c r="D61" s="5" t="n"/>
      <c r="E61" s="5" t="n"/>
      <c r="F61" s="5" t="n"/>
      <c r="G61" s="13">
        <f>IF(F61="","",IFERROR(IF(INDEX(Viajeros!$C$5:$C$11,MATCH(F61,Viajeros!$B$5:$B$11,0))="","",INDEX(Viajeros!$C$5:$C$11,MATCH(F61,Viajeros!$B$5:$B$11,0))),""))</f>
        <v/>
      </c>
      <c r="H61" s="14">
        <f>IF(F61="","",IFERROR(INDEX(Viajeros!$D$5:$D$11,MATCH(F61,Viajeros!$B$5:$B$11,0))&amp;"",""))</f>
        <v/>
      </c>
      <c r="I61" s="13">
        <f>IF(F61="","",IFERROR(IF(INDEX(Viajeros!$E$5:$E$11,MATCH(F61,Viajeros!$B$5:$B$11,0))="","",INDEX(Viajeros!$E$5:$E$11,MATCH(F61,Viajeros!$B$5:$B$11,0))),""))</f>
        <v/>
      </c>
      <c r="J61" s="5" t="n"/>
    </row>
    <row r="62">
      <c r="A62" s="6" t="n"/>
      <c r="B62" s="5" t="n"/>
      <c r="C62" s="12" t="n"/>
      <c r="D62" s="5" t="n"/>
      <c r="E62" s="5" t="n"/>
      <c r="F62" s="5" t="n"/>
      <c r="G62" s="13">
        <f>IF(F62="","",IFERROR(IF(INDEX(Viajeros!$C$5:$C$11,MATCH(F62,Viajeros!$B$5:$B$11,0))="","",INDEX(Viajeros!$C$5:$C$11,MATCH(F62,Viajeros!$B$5:$B$11,0))),""))</f>
        <v/>
      </c>
      <c r="H62" s="14">
        <f>IF(F62="","",IFERROR(INDEX(Viajeros!$D$5:$D$11,MATCH(F62,Viajeros!$B$5:$B$11,0))&amp;"",""))</f>
        <v/>
      </c>
      <c r="I62" s="13">
        <f>IF(F62="","",IFERROR(IF(INDEX(Viajeros!$E$5:$E$11,MATCH(F62,Viajeros!$B$5:$B$11,0))="","",INDEX(Viajeros!$E$5:$E$11,MATCH(F62,Viajeros!$B$5:$B$11,0))),""))</f>
        <v/>
      </c>
      <c r="J62" s="5" t="n"/>
    </row>
    <row r="63">
      <c r="A63" s="6" t="n"/>
      <c r="B63" s="5" t="n"/>
      <c r="C63" s="12" t="n"/>
      <c r="D63" s="5" t="n"/>
      <c r="E63" s="5" t="n"/>
      <c r="F63" s="5" t="n"/>
      <c r="G63" s="13">
        <f>IF(F63="","",IFERROR(IF(INDEX(Viajeros!$C$5:$C$11,MATCH(F63,Viajeros!$B$5:$B$11,0))="","",INDEX(Viajeros!$C$5:$C$11,MATCH(F63,Viajeros!$B$5:$B$11,0))),""))</f>
        <v/>
      </c>
      <c r="H63" s="14">
        <f>IF(F63="","",IFERROR(INDEX(Viajeros!$D$5:$D$11,MATCH(F63,Viajeros!$B$5:$B$11,0))&amp;"",""))</f>
        <v/>
      </c>
      <c r="I63" s="13">
        <f>IF(F63="","",IFERROR(IF(INDEX(Viajeros!$E$5:$E$11,MATCH(F63,Viajeros!$B$5:$B$11,0))="","",INDEX(Viajeros!$E$5:$E$11,MATCH(F63,Viajeros!$B$5:$B$11,0))),""))</f>
        <v/>
      </c>
      <c r="J63" s="5" t="n"/>
    </row>
    <row r="64">
      <c r="A64" s="6" t="n"/>
      <c r="B64" s="5" t="n"/>
      <c r="C64" s="12" t="n"/>
      <c r="D64" s="5" t="n"/>
      <c r="E64" s="5" t="n"/>
      <c r="F64" s="5" t="n"/>
      <c r="G64" s="13">
        <f>IF(F64="","",IFERROR(IF(INDEX(Viajeros!$C$5:$C$11,MATCH(F64,Viajeros!$B$5:$B$11,0))="","",INDEX(Viajeros!$C$5:$C$11,MATCH(F64,Viajeros!$B$5:$B$11,0))),""))</f>
        <v/>
      </c>
      <c r="H64" s="14">
        <f>IF(F64="","",IFERROR(INDEX(Viajeros!$D$5:$D$11,MATCH(F64,Viajeros!$B$5:$B$11,0))&amp;"",""))</f>
        <v/>
      </c>
      <c r="I64" s="13">
        <f>IF(F64="","",IFERROR(IF(INDEX(Viajeros!$E$5:$E$11,MATCH(F64,Viajeros!$B$5:$B$11,0))="","",INDEX(Viajeros!$E$5:$E$11,MATCH(F64,Viajeros!$B$5:$B$11,0))),""))</f>
        <v/>
      </c>
      <c r="J64" s="5" t="n"/>
    </row>
    <row r="65">
      <c r="A65" s="6" t="n"/>
      <c r="B65" s="5" t="n"/>
      <c r="C65" s="12" t="n"/>
      <c r="D65" s="5" t="n"/>
      <c r="E65" s="5" t="n"/>
      <c r="F65" s="5" t="n"/>
      <c r="G65" s="13">
        <f>IF(F65="","",IFERROR(IF(INDEX(Viajeros!$C$5:$C$11,MATCH(F65,Viajeros!$B$5:$B$11,0))="","",INDEX(Viajeros!$C$5:$C$11,MATCH(F65,Viajeros!$B$5:$B$11,0))),""))</f>
        <v/>
      </c>
      <c r="H65" s="14">
        <f>IF(F65="","",IFERROR(INDEX(Viajeros!$D$5:$D$11,MATCH(F65,Viajeros!$B$5:$B$11,0))&amp;"",""))</f>
        <v/>
      </c>
      <c r="I65" s="13">
        <f>IF(F65="","",IFERROR(IF(INDEX(Viajeros!$E$5:$E$11,MATCH(F65,Viajeros!$B$5:$B$11,0))="","",INDEX(Viajeros!$E$5:$E$11,MATCH(F65,Viajeros!$B$5:$B$11,0))),""))</f>
        <v/>
      </c>
      <c r="J65" s="5" t="n"/>
    </row>
    <row r="66">
      <c r="A66" s="6" t="n"/>
      <c r="B66" s="5" t="n"/>
      <c r="C66" s="12" t="n"/>
      <c r="D66" s="5" t="n"/>
      <c r="E66" s="5" t="n"/>
      <c r="F66" s="5" t="n"/>
      <c r="G66" s="13">
        <f>IF(F66="","",IFERROR(IF(INDEX(Viajeros!$C$5:$C$11,MATCH(F66,Viajeros!$B$5:$B$11,0))="","",INDEX(Viajeros!$C$5:$C$11,MATCH(F66,Viajeros!$B$5:$B$11,0))),""))</f>
        <v/>
      </c>
      <c r="H66" s="14">
        <f>IF(F66="","",IFERROR(INDEX(Viajeros!$D$5:$D$11,MATCH(F66,Viajeros!$B$5:$B$11,0))&amp;"",""))</f>
        <v/>
      </c>
      <c r="I66" s="13">
        <f>IF(F66="","",IFERROR(IF(INDEX(Viajeros!$E$5:$E$11,MATCH(F66,Viajeros!$B$5:$B$11,0))="","",INDEX(Viajeros!$E$5:$E$11,MATCH(F66,Viajeros!$B$5:$B$11,0))),""))</f>
        <v/>
      </c>
      <c r="J66" s="5" t="n"/>
    </row>
    <row r="67">
      <c r="A67" s="6" t="n"/>
      <c r="B67" s="5" t="n"/>
      <c r="C67" s="12" t="n"/>
      <c r="D67" s="5" t="n"/>
      <c r="E67" s="5" t="n"/>
      <c r="F67" s="5" t="n"/>
      <c r="G67" s="13">
        <f>IF(F67="","",IFERROR(IF(INDEX(Viajeros!$C$5:$C$11,MATCH(F67,Viajeros!$B$5:$B$11,0))="","",INDEX(Viajeros!$C$5:$C$11,MATCH(F67,Viajeros!$B$5:$B$11,0))),""))</f>
        <v/>
      </c>
      <c r="H67" s="14">
        <f>IF(F67="","",IFERROR(INDEX(Viajeros!$D$5:$D$11,MATCH(F67,Viajeros!$B$5:$B$11,0))&amp;"",""))</f>
        <v/>
      </c>
      <c r="I67" s="13">
        <f>IF(F67="","",IFERROR(IF(INDEX(Viajeros!$E$5:$E$11,MATCH(F67,Viajeros!$B$5:$B$11,0))="","",INDEX(Viajeros!$E$5:$E$11,MATCH(F67,Viajeros!$B$5:$B$11,0))),""))</f>
        <v/>
      </c>
      <c r="J67" s="5" t="n"/>
    </row>
    <row r="68">
      <c r="A68" s="6" t="n"/>
      <c r="B68" s="5" t="n"/>
      <c r="C68" s="12" t="n"/>
      <c r="D68" s="5" t="n"/>
      <c r="E68" s="5" t="n"/>
      <c r="F68" s="5" t="n"/>
      <c r="G68" s="13">
        <f>IF(F68="","",IFERROR(IF(INDEX(Viajeros!$C$5:$C$11,MATCH(F68,Viajeros!$B$5:$B$11,0))="","",INDEX(Viajeros!$C$5:$C$11,MATCH(F68,Viajeros!$B$5:$B$11,0))),""))</f>
        <v/>
      </c>
      <c r="H68" s="14">
        <f>IF(F68="","",IFERROR(INDEX(Viajeros!$D$5:$D$11,MATCH(F68,Viajeros!$B$5:$B$11,0))&amp;"",""))</f>
        <v/>
      </c>
      <c r="I68" s="13">
        <f>IF(F68="","",IFERROR(IF(INDEX(Viajeros!$E$5:$E$11,MATCH(F68,Viajeros!$B$5:$B$11,0))="","",INDEX(Viajeros!$E$5:$E$11,MATCH(F68,Viajeros!$B$5:$B$11,0))),""))</f>
        <v/>
      </c>
      <c r="J68" s="5" t="n"/>
    </row>
    <row r="69">
      <c r="A69" s="6" t="n"/>
      <c r="B69" s="5" t="n"/>
      <c r="C69" s="12" t="n"/>
      <c r="D69" s="5" t="n"/>
      <c r="E69" s="5" t="n"/>
      <c r="F69" s="5" t="n"/>
      <c r="G69" s="13">
        <f>IF(F69="","",IFERROR(IF(INDEX(Viajeros!$C$5:$C$11,MATCH(F69,Viajeros!$B$5:$B$11,0))="","",INDEX(Viajeros!$C$5:$C$11,MATCH(F69,Viajeros!$B$5:$B$11,0))),""))</f>
        <v/>
      </c>
      <c r="H69" s="14">
        <f>IF(F69="","",IFERROR(INDEX(Viajeros!$D$5:$D$11,MATCH(F69,Viajeros!$B$5:$B$11,0))&amp;"",""))</f>
        <v/>
      </c>
      <c r="I69" s="13">
        <f>IF(F69="","",IFERROR(IF(INDEX(Viajeros!$E$5:$E$11,MATCH(F69,Viajeros!$B$5:$B$11,0))="","",INDEX(Viajeros!$E$5:$E$11,MATCH(F69,Viajeros!$B$5:$B$11,0))),""))</f>
        <v/>
      </c>
      <c r="J69" s="5" t="n"/>
    </row>
    <row r="70">
      <c r="A70" s="6" t="n"/>
      <c r="B70" s="5" t="n"/>
      <c r="C70" s="12" t="n"/>
      <c r="D70" s="5" t="n"/>
      <c r="E70" s="5" t="n"/>
      <c r="F70" s="5" t="n"/>
      <c r="G70" s="13">
        <f>IF(F70="","",IFERROR(IF(INDEX(Viajeros!$C$5:$C$11,MATCH(F70,Viajeros!$B$5:$B$11,0))="","",INDEX(Viajeros!$C$5:$C$11,MATCH(F70,Viajeros!$B$5:$B$11,0))),""))</f>
        <v/>
      </c>
      <c r="H70" s="14">
        <f>IF(F70="","",IFERROR(INDEX(Viajeros!$D$5:$D$11,MATCH(F70,Viajeros!$B$5:$B$11,0))&amp;"",""))</f>
        <v/>
      </c>
      <c r="I70" s="13">
        <f>IF(F70="","",IFERROR(IF(INDEX(Viajeros!$E$5:$E$11,MATCH(F70,Viajeros!$B$5:$B$11,0))="","",INDEX(Viajeros!$E$5:$E$11,MATCH(F70,Viajeros!$B$5:$B$11,0))),""))</f>
        <v/>
      </c>
      <c r="J70" s="5" t="n"/>
    </row>
    <row r="71">
      <c r="A71" s="6" t="n"/>
      <c r="B71" s="5" t="n"/>
      <c r="C71" s="12" t="n"/>
      <c r="D71" s="5" t="n"/>
      <c r="E71" s="5" t="n"/>
      <c r="F71" s="5" t="n"/>
      <c r="G71" s="13">
        <f>IF(F71="","",IFERROR(IF(INDEX(Viajeros!$C$5:$C$11,MATCH(F71,Viajeros!$B$5:$B$11,0))="","",INDEX(Viajeros!$C$5:$C$11,MATCH(F71,Viajeros!$B$5:$B$11,0))),""))</f>
        <v/>
      </c>
      <c r="H71" s="14">
        <f>IF(F71="","",IFERROR(INDEX(Viajeros!$D$5:$D$11,MATCH(F71,Viajeros!$B$5:$B$11,0))&amp;"",""))</f>
        <v/>
      </c>
      <c r="I71" s="13">
        <f>IF(F71="","",IFERROR(IF(INDEX(Viajeros!$E$5:$E$11,MATCH(F71,Viajeros!$B$5:$B$11,0))="","",INDEX(Viajeros!$E$5:$E$11,MATCH(F71,Viajeros!$B$5:$B$11,0))),""))</f>
        <v/>
      </c>
      <c r="J71" s="5" t="n"/>
    </row>
    <row r="72">
      <c r="A72" s="6" t="n"/>
      <c r="B72" s="5" t="n"/>
      <c r="C72" s="12" t="n"/>
      <c r="D72" s="5" t="n"/>
      <c r="E72" s="5" t="n"/>
      <c r="F72" s="5" t="n"/>
      <c r="G72" s="13">
        <f>IF(F72="","",IFERROR(IF(INDEX(Viajeros!$C$5:$C$11,MATCH(F72,Viajeros!$B$5:$B$11,0))="","",INDEX(Viajeros!$C$5:$C$11,MATCH(F72,Viajeros!$B$5:$B$11,0))),""))</f>
        <v/>
      </c>
      <c r="H72" s="14">
        <f>IF(F72="","",IFERROR(INDEX(Viajeros!$D$5:$D$11,MATCH(F72,Viajeros!$B$5:$B$11,0))&amp;"",""))</f>
        <v/>
      </c>
      <c r="I72" s="13">
        <f>IF(F72="","",IFERROR(IF(INDEX(Viajeros!$E$5:$E$11,MATCH(F72,Viajeros!$B$5:$B$11,0))="","",INDEX(Viajeros!$E$5:$E$11,MATCH(F72,Viajeros!$B$5:$B$11,0))),""))</f>
        <v/>
      </c>
      <c r="J72" s="5" t="n"/>
    </row>
    <row r="73">
      <c r="A73" s="6" t="n"/>
      <c r="B73" s="5" t="n"/>
      <c r="C73" s="12" t="n"/>
      <c r="D73" s="5" t="n"/>
      <c r="E73" s="5" t="n"/>
      <c r="F73" s="5" t="n"/>
      <c r="G73" s="13">
        <f>IF(F73="","",IFERROR(IF(INDEX(Viajeros!$C$5:$C$11,MATCH(F73,Viajeros!$B$5:$B$11,0))="","",INDEX(Viajeros!$C$5:$C$11,MATCH(F73,Viajeros!$B$5:$B$11,0))),""))</f>
        <v/>
      </c>
      <c r="H73" s="14">
        <f>IF(F73="","",IFERROR(INDEX(Viajeros!$D$5:$D$11,MATCH(F73,Viajeros!$B$5:$B$11,0))&amp;"",""))</f>
        <v/>
      </c>
      <c r="I73" s="13">
        <f>IF(F73="","",IFERROR(IF(INDEX(Viajeros!$E$5:$E$11,MATCH(F73,Viajeros!$B$5:$B$11,0))="","",INDEX(Viajeros!$E$5:$E$11,MATCH(F73,Viajeros!$B$5:$B$11,0))),""))</f>
        <v/>
      </c>
      <c r="J73" s="5" t="n"/>
    </row>
    <row r="74">
      <c r="A74" s="6" t="n"/>
      <c r="B74" s="5" t="n"/>
      <c r="C74" s="12" t="n"/>
      <c r="D74" s="5" t="n"/>
      <c r="E74" s="5" t="n"/>
      <c r="F74" s="5" t="n"/>
      <c r="G74" s="13">
        <f>IF(F74="","",IFERROR(IF(INDEX(Viajeros!$C$5:$C$11,MATCH(F74,Viajeros!$B$5:$B$11,0))="","",INDEX(Viajeros!$C$5:$C$11,MATCH(F74,Viajeros!$B$5:$B$11,0))),""))</f>
        <v/>
      </c>
      <c r="H74" s="14">
        <f>IF(F74="","",IFERROR(INDEX(Viajeros!$D$5:$D$11,MATCH(F74,Viajeros!$B$5:$B$11,0))&amp;"",""))</f>
        <v/>
      </c>
      <c r="I74" s="13">
        <f>IF(F74="","",IFERROR(IF(INDEX(Viajeros!$E$5:$E$11,MATCH(F74,Viajeros!$B$5:$B$11,0))="","",INDEX(Viajeros!$E$5:$E$11,MATCH(F74,Viajeros!$B$5:$B$11,0))),""))</f>
        <v/>
      </c>
      <c r="J74" s="5" t="n"/>
    </row>
    <row r="75">
      <c r="A75" s="6" t="n"/>
      <c r="B75" s="5" t="n"/>
      <c r="C75" s="12" t="n"/>
      <c r="D75" s="5" t="n"/>
      <c r="E75" s="5" t="n"/>
      <c r="F75" s="5" t="n"/>
      <c r="G75" s="13">
        <f>IF(F75="","",IFERROR(IF(INDEX(Viajeros!$C$5:$C$11,MATCH(F75,Viajeros!$B$5:$B$11,0))="","",INDEX(Viajeros!$C$5:$C$11,MATCH(F75,Viajeros!$B$5:$B$11,0))),""))</f>
        <v/>
      </c>
      <c r="H75" s="14">
        <f>IF(F75="","",IFERROR(INDEX(Viajeros!$D$5:$D$11,MATCH(F75,Viajeros!$B$5:$B$11,0))&amp;"",""))</f>
        <v/>
      </c>
      <c r="I75" s="13">
        <f>IF(F75="","",IFERROR(IF(INDEX(Viajeros!$E$5:$E$11,MATCH(F75,Viajeros!$B$5:$B$11,0))="","",INDEX(Viajeros!$E$5:$E$11,MATCH(F75,Viajeros!$B$5:$B$11,0))),""))</f>
        <v/>
      </c>
      <c r="J75" s="5" t="n"/>
    </row>
    <row r="76">
      <c r="A76" s="6" t="n"/>
      <c r="B76" s="5" t="n"/>
      <c r="C76" s="12" t="n"/>
      <c r="D76" s="5" t="n"/>
      <c r="E76" s="5" t="n"/>
      <c r="F76" s="5" t="n"/>
      <c r="G76" s="13">
        <f>IF(F76="","",IFERROR(IF(INDEX(Viajeros!$C$5:$C$11,MATCH(F76,Viajeros!$B$5:$B$11,0))="","",INDEX(Viajeros!$C$5:$C$11,MATCH(F76,Viajeros!$B$5:$B$11,0))),""))</f>
        <v/>
      </c>
      <c r="H76" s="14">
        <f>IF(F76="","",IFERROR(INDEX(Viajeros!$D$5:$D$11,MATCH(F76,Viajeros!$B$5:$B$11,0))&amp;"",""))</f>
        <v/>
      </c>
      <c r="I76" s="13">
        <f>IF(F76="","",IFERROR(IF(INDEX(Viajeros!$E$5:$E$11,MATCH(F76,Viajeros!$B$5:$B$11,0))="","",INDEX(Viajeros!$E$5:$E$11,MATCH(F76,Viajeros!$B$5:$B$11,0))),""))</f>
        <v/>
      </c>
      <c r="J76" s="5" t="n"/>
    </row>
    <row r="77">
      <c r="A77" s="6" t="n"/>
      <c r="B77" s="5" t="n"/>
      <c r="C77" s="12" t="n"/>
      <c r="D77" s="5" t="n"/>
      <c r="E77" s="5" t="n"/>
      <c r="F77" s="5" t="n"/>
      <c r="G77" s="13">
        <f>IF(F77="","",IFERROR(IF(INDEX(Viajeros!$C$5:$C$11,MATCH(F77,Viajeros!$B$5:$B$11,0))="","",INDEX(Viajeros!$C$5:$C$11,MATCH(F77,Viajeros!$B$5:$B$11,0))),""))</f>
        <v/>
      </c>
      <c r="H77" s="14">
        <f>IF(F77="","",IFERROR(INDEX(Viajeros!$D$5:$D$11,MATCH(F77,Viajeros!$B$5:$B$11,0))&amp;"",""))</f>
        <v/>
      </c>
      <c r="I77" s="13">
        <f>IF(F77="","",IFERROR(IF(INDEX(Viajeros!$E$5:$E$11,MATCH(F77,Viajeros!$B$5:$B$11,0))="","",INDEX(Viajeros!$E$5:$E$11,MATCH(F77,Viajeros!$B$5:$B$11,0))),""))</f>
        <v/>
      </c>
      <c r="J77" s="5" t="n"/>
    </row>
    <row r="78">
      <c r="A78" s="6" t="n"/>
      <c r="B78" s="5" t="n"/>
      <c r="C78" s="12" t="n"/>
      <c r="D78" s="5" t="n"/>
      <c r="E78" s="5" t="n"/>
      <c r="F78" s="5" t="n"/>
      <c r="G78" s="13">
        <f>IF(F78="","",IFERROR(IF(INDEX(Viajeros!$C$5:$C$11,MATCH(F78,Viajeros!$B$5:$B$11,0))="","",INDEX(Viajeros!$C$5:$C$11,MATCH(F78,Viajeros!$B$5:$B$11,0))),""))</f>
        <v/>
      </c>
      <c r="H78" s="14">
        <f>IF(F78="","",IFERROR(INDEX(Viajeros!$D$5:$D$11,MATCH(F78,Viajeros!$B$5:$B$11,0))&amp;"",""))</f>
        <v/>
      </c>
      <c r="I78" s="13">
        <f>IF(F78="","",IFERROR(IF(INDEX(Viajeros!$E$5:$E$11,MATCH(F78,Viajeros!$B$5:$B$11,0))="","",INDEX(Viajeros!$E$5:$E$11,MATCH(F78,Viajeros!$B$5:$B$11,0))),""))</f>
        <v/>
      </c>
      <c r="J78" s="5" t="n"/>
    </row>
    <row r="79">
      <c r="A79" s="6" t="n"/>
      <c r="B79" s="5" t="n"/>
      <c r="C79" s="12" t="n"/>
      <c r="D79" s="5" t="n"/>
      <c r="E79" s="5" t="n"/>
      <c r="F79" s="5" t="n"/>
      <c r="G79" s="13">
        <f>IF(F79="","",IFERROR(IF(INDEX(Viajeros!$C$5:$C$11,MATCH(F79,Viajeros!$B$5:$B$11,0))="","",INDEX(Viajeros!$C$5:$C$11,MATCH(F79,Viajeros!$B$5:$B$11,0))),""))</f>
        <v/>
      </c>
      <c r="H79" s="14">
        <f>IF(F79="","",IFERROR(INDEX(Viajeros!$D$5:$D$11,MATCH(F79,Viajeros!$B$5:$B$11,0))&amp;"",""))</f>
        <v/>
      </c>
      <c r="I79" s="13">
        <f>IF(F79="","",IFERROR(IF(INDEX(Viajeros!$E$5:$E$11,MATCH(F79,Viajeros!$B$5:$B$11,0))="","",INDEX(Viajeros!$E$5:$E$11,MATCH(F79,Viajeros!$B$5:$B$11,0))),""))</f>
        <v/>
      </c>
      <c r="J79" s="5" t="n"/>
    </row>
    <row r="80">
      <c r="A80" s="6" t="n"/>
      <c r="B80" s="5" t="n"/>
      <c r="C80" s="12" t="n"/>
      <c r="D80" s="5" t="n"/>
      <c r="E80" s="5" t="n"/>
      <c r="F80" s="5" t="n"/>
      <c r="G80" s="13">
        <f>IF(F80="","",IFERROR(IF(INDEX(Viajeros!$C$5:$C$11,MATCH(F80,Viajeros!$B$5:$B$11,0))="","",INDEX(Viajeros!$C$5:$C$11,MATCH(F80,Viajeros!$B$5:$B$11,0))),""))</f>
        <v/>
      </c>
      <c r="H80" s="14">
        <f>IF(F80="","",IFERROR(INDEX(Viajeros!$D$5:$D$11,MATCH(F80,Viajeros!$B$5:$B$11,0))&amp;"",""))</f>
        <v/>
      </c>
      <c r="I80" s="13">
        <f>IF(F80="","",IFERROR(IF(INDEX(Viajeros!$E$5:$E$11,MATCH(F80,Viajeros!$B$5:$B$11,0))="","",INDEX(Viajeros!$E$5:$E$11,MATCH(F80,Viajeros!$B$5:$B$11,0))),""))</f>
        <v/>
      </c>
      <c r="J80" s="5" t="n"/>
    </row>
    <row r="81">
      <c r="A81" s="6" t="n"/>
      <c r="B81" s="5" t="n"/>
      <c r="C81" s="12" t="n"/>
      <c r="D81" s="5" t="n"/>
      <c r="E81" s="5" t="n"/>
      <c r="F81" s="5" t="n"/>
      <c r="G81" s="13">
        <f>IF(F81="","",IFERROR(IF(INDEX(Viajeros!$C$5:$C$11,MATCH(F81,Viajeros!$B$5:$B$11,0))="","",INDEX(Viajeros!$C$5:$C$11,MATCH(F81,Viajeros!$B$5:$B$11,0))),""))</f>
        <v/>
      </c>
      <c r="H81" s="14">
        <f>IF(F81="","",IFERROR(INDEX(Viajeros!$D$5:$D$11,MATCH(F81,Viajeros!$B$5:$B$11,0))&amp;"",""))</f>
        <v/>
      </c>
      <c r="I81" s="13">
        <f>IF(F81="","",IFERROR(IF(INDEX(Viajeros!$E$5:$E$11,MATCH(F81,Viajeros!$B$5:$B$11,0))="","",INDEX(Viajeros!$E$5:$E$11,MATCH(F81,Viajeros!$B$5:$B$11,0))),""))</f>
        <v/>
      </c>
      <c r="J81" s="5" t="n"/>
    </row>
    <row r="82">
      <c r="A82" s="6" t="n"/>
      <c r="B82" s="5" t="n"/>
      <c r="C82" s="12" t="n"/>
      <c r="D82" s="5" t="n"/>
      <c r="E82" s="5" t="n"/>
      <c r="F82" s="5" t="n"/>
      <c r="G82" s="13">
        <f>IF(F82="","",IFERROR(IF(INDEX(Viajeros!$C$5:$C$11,MATCH(F82,Viajeros!$B$5:$B$11,0))="","",INDEX(Viajeros!$C$5:$C$11,MATCH(F82,Viajeros!$B$5:$B$11,0))),""))</f>
        <v/>
      </c>
      <c r="H82" s="14">
        <f>IF(F82="","",IFERROR(INDEX(Viajeros!$D$5:$D$11,MATCH(F82,Viajeros!$B$5:$B$11,0))&amp;"",""))</f>
        <v/>
      </c>
      <c r="I82" s="13">
        <f>IF(F82="","",IFERROR(IF(INDEX(Viajeros!$E$5:$E$11,MATCH(F82,Viajeros!$B$5:$B$11,0))="","",INDEX(Viajeros!$E$5:$E$11,MATCH(F82,Viajeros!$B$5:$B$11,0))),""))</f>
        <v/>
      </c>
      <c r="J82" s="5" t="n"/>
    </row>
    <row r="83">
      <c r="A83" s="6" t="n"/>
      <c r="B83" s="5" t="n"/>
      <c r="C83" s="12" t="n"/>
      <c r="D83" s="5" t="n"/>
      <c r="E83" s="5" t="n"/>
      <c r="F83" s="5" t="n"/>
      <c r="G83" s="13">
        <f>IF(F83="","",IFERROR(IF(INDEX(Viajeros!$C$5:$C$11,MATCH(F83,Viajeros!$B$5:$B$11,0))="","",INDEX(Viajeros!$C$5:$C$11,MATCH(F83,Viajeros!$B$5:$B$11,0))),""))</f>
        <v/>
      </c>
      <c r="H83" s="14">
        <f>IF(F83="","",IFERROR(INDEX(Viajeros!$D$5:$D$11,MATCH(F83,Viajeros!$B$5:$B$11,0))&amp;"",""))</f>
        <v/>
      </c>
      <c r="I83" s="13">
        <f>IF(F83="","",IFERROR(IF(INDEX(Viajeros!$E$5:$E$11,MATCH(F83,Viajeros!$B$5:$B$11,0))="","",INDEX(Viajeros!$E$5:$E$11,MATCH(F83,Viajeros!$B$5:$B$11,0))),""))</f>
        <v/>
      </c>
      <c r="J83" s="5" t="n"/>
    </row>
    <row r="84">
      <c r="A84" s="6" t="n"/>
      <c r="B84" s="5" t="n"/>
      <c r="C84" s="12" t="n"/>
      <c r="D84" s="5" t="n"/>
      <c r="E84" s="5" t="n"/>
      <c r="F84" s="5" t="n"/>
      <c r="G84" s="13">
        <f>IF(F84="","",IFERROR(IF(INDEX(Viajeros!$C$5:$C$11,MATCH(F84,Viajeros!$B$5:$B$11,0))="","",INDEX(Viajeros!$C$5:$C$11,MATCH(F84,Viajeros!$B$5:$B$11,0))),""))</f>
        <v/>
      </c>
      <c r="H84" s="14">
        <f>IF(F84="","",IFERROR(INDEX(Viajeros!$D$5:$D$11,MATCH(F84,Viajeros!$B$5:$B$11,0))&amp;"",""))</f>
        <v/>
      </c>
      <c r="I84" s="13">
        <f>IF(F84="","",IFERROR(IF(INDEX(Viajeros!$E$5:$E$11,MATCH(F84,Viajeros!$B$5:$B$11,0))="","",INDEX(Viajeros!$E$5:$E$11,MATCH(F84,Viajeros!$B$5:$B$11,0))),""))</f>
        <v/>
      </c>
      <c r="J84" s="5" t="n"/>
    </row>
  </sheetData>
  <autoFilter ref="A4:J84"/>
  <mergeCells count="1">
    <mergeCell ref="A2:J2"/>
  </mergeCells>
  <conditionalFormatting sqref="I5:I84">
    <cfRule type="expression" priority="1" dxfId="0">
      <formula>AND(ISNUMBER(I5),ISNUMBER(A5),I5&lt;EDATE(A5,6))</formula>
    </cfRule>
  </conditionalFormatting>
  <dataValidations count="2">
    <dataValidation sqref="F5:F84" showDropDown="0" showInputMessage="0" showErrorMessage="0" allowBlank="1" type="list">
      <formula1>Viajeros!$B$5:$B$11</formula1>
    </dataValidation>
    <dataValidation sqref="A5:A84" showDropDown="0" showInputMessage="0" showErrorMessage="1" allowBlank="0" error="Ingrese una fecha válida (DD/MM/AAAA).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6" customWidth="1" min="4" max="4"/>
    <col width="15" customWidth="1" min="5" max="5"/>
    <col width="15" customWidth="1" min="6" max="6"/>
    <col width="10" customWidth="1" min="7" max="7"/>
    <col width="20" customWidth="1" min="8" max="8"/>
    <col width="30" customWidth="1" min="9" max="9"/>
    <col width="45" customWidth="1" min="10" max="10"/>
  </cols>
  <sheetData>
    <row r="1">
      <c r="A1" s="1" t="inlineStr">
        <is>
          <t>Reservas de Hotel – Vangrupo | Brasil, Noviembre 2026</t>
        </is>
      </c>
    </row>
    <row r="2" ht="42" customHeight="1">
      <c r="A2" s="2" t="inlineStr">
        <is>
          <t>Una fila por persona por estadía. Amarillo = completar; gris = automático (se toma de la pestaña Viajeros). La fila 5 es un EJEMPLO – reemplácela o bórrela.</t>
        </is>
      </c>
    </row>
    <row r="4" ht="32" customHeight="1">
      <c r="A4" s="3" t="inlineStr">
        <is>
          <t>Nombre de la Persona</t>
        </is>
      </c>
      <c r="B4" s="3" t="inlineStr">
        <is>
          <t>Fecha de Nacimiento</t>
        </is>
      </c>
      <c r="C4" s="3" t="inlineStr">
        <is>
          <t>Nº de Pasaporte</t>
        </is>
      </c>
      <c r="D4" s="3" t="inlineStr">
        <is>
          <t>Vencimiento del Pasaporte</t>
        </is>
      </c>
      <c r="E4" s="3" t="inlineStr">
        <is>
          <t>Fecha de Check-in</t>
        </is>
      </c>
      <c r="F4" s="3" t="inlineStr">
        <is>
          <t>Fecha de Check-out</t>
        </is>
      </c>
      <c r="G4" s="3" t="inlineStr">
        <is>
          <t>Nº de Noches</t>
        </is>
      </c>
      <c r="H4" s="3" t="inlineStr">
        <is>
          <t>Ciudad</t>
        </is>
      </c>
      <c r="I4" s="3" t="inlineStr">
        <is>
          <t>Nombre del Hotel</t>
        </is>
      </c>
      <c r="J4" s="3" t="inlineStr">
        <is>
          <t>Link de la Reserva del Hotel</t>
        </is>
      </c>
    </row>
    <row r="5">
      <c r="A5" s="8" t="inlineStr">
        <is>
          <t>Persona 1</t>
        </is>
      </c>
      <c r="B5" s="10">
        <f>IF(A5="","",IFERROR(IF(INDEX(Viajeros!$C$5:$C$11,MATCH(A5,Viajeros!$B$5:$B$11,0))="","",INDEX(Viajeros!$C$5:$C$11,MATCH(A5,Viajeros!$B$5:$B$11,0))),""))</f>
        <v/>
      </c>
      <c r="C5" s="11">
        <f>IF(A5="","",IFERROR(INDEX(Viajeros!$D$5:$D$11,MATCH(A5,Viajeros!$B$5:$B$11,0))&amp;"",""))</f>
        <v/>
      </c>
      <c r="D5" s="10">
        <f>IF(A5="","",IFERROR(IF(INDEX(Viajeros!$E$5:$E$11,MATCH(A5,Viajeros!$B$5:$B$11,0))="","",INDEX(Viajeros!$E$5:$E$11,MATCH(A5,Viajeros!$B$5:$B$11,0))),""))</f>
        <v/>
      </c>
      <c r="E5" s="7" t="n">
        <v>46329</v>
      </c>
      <c r="F5" s="7" t="n">
        <v>46333</v>
      </c>
      <c r="G5" s="15">
        <f>IF(AND(ISNUMBER(E5),ISNUMBER(F5)),F5-E5,"")</f>
        <v/>
      </c>
      <c r="H5" s="8" t="inlineStr">
        <is>
          <t>São Paulo</t>
        </is>
      </c>
      <c r="I5" s="8" t="inlineStr">
        <is>
          <t>Hotel Ejemplo Paulista</t>
        </is>
      </c>
      <c r="J5" s="8" t="inlineStr">
        <is>
          <t>https://www.booking.com</t>
        </is>
      </c>
    </row>
    <row r="6">
      <c r="A6" s="5" t="n"/>
      <c r="B6" s="13">
        <f>IF(A6="","",IFERROR(IF(INDEX(Viajeros!$C$5:$C$11,MATCH(A6,Viajeros!$B$5:$B$11,0))="","",INDEX(Viajeros!$C$5:$C$11,MATCH(A6,Viajeros!$B$5:$B$11,0))),""))</f>
        <v/>
      </c>
      <c r="C6" s="14">
        <f>IF(A6="","",IFERROR(INDEX(Viajeros!$D$5:$D$11,MATCH(A6,Viajeros!$B$5:$B$11,0))&amp;"",""))</f>
        <v/>
      </c>
      <c r="D6" s="13">
        <f>IF(A6="","",IFERROR(IF(INDEX(Viajeros!$E$5:$E$11,MATCH(A6,Viajeros!$B$5:$B$11,0))="","",INDEX(Viajeros!$E$5:$E$11,MATCH(A6,Viajeros!$B$5:$B$11,0))),""))</f>
        <v/>
      </c>
      <c r="E6" s="6" t="n"/>
      <c r="F6" s="6" t="n"/>
      <c r="G6" s="16">
        <f>IF(AND(ISNUMBER(E6),ISNUMBER(F6)),F6-E6,"")</f>
        <v/>
      </c>
      <c r="H6" s="5" t="n"/>
      <c r="I6" s="5" t="n"/>
      <c r="J6" s="5" t="n"/>
    </row>
    <row r="7">
      <c r="A7" s="5" t="n"/>
      <c r="B7" s="13">
        <f>IF(A7="","",IFERROR(IF(INDEX(Viajeros!$C$5:$C$11,MATCH(A7,Viajeros!$B$5:$B$11,0))="","",INDEX(Viajeros!$C$5:$C$11,MATCH(A7,Viajeros!$B$5:$B$11,0))),""))</f>
        <v/>
      </c>
      <c r="C7" s="14">
        <f>IF(A7="","",IFERROR(INDEX(Viajeros!$D$5:$D$11,MATCH(A7,Viajeros!$B$5:$B$11,0))&amp;"",""))</f>
        <v/>
      </c>
      <c r="D7" s="13">
        <f>IF(A7="","",IFERROR(IF(INDEX(Viajeros!$E$5:$E$11,MATCH(A7,Viajeros!$B$5:$B$11,0))="","",INDEX(Viajeros!$E$5:$E$11,MATCH(A7,Viajeros!$B$5:$B$11,0))),""))</f>
        <v/>
      </c>
      <c r="E7" s="6" t="n"/>
      <c r="F7" s="6" t="n"/>
      <c r="G7" s="16">
        <f>IF(AND(ISNUMBER(E7),ISNUMBER(F7)),F7-E7,"")</f>
        <v/>
      </c>
      <c r="H7" s="5" t="n"/>
      <c r="I7" s="5" t="n"/>
      <c r="J7" s="5" t="n"/>
    </row>
    <row r="8">
      <c r="A8" s="5" t="n"/>
      <c r="B8" s="13">
        <f>IF(A8="","",IFERROR(IF(INDEX(Viajeros!$C$5:$C$11,MATCH(A8,Viajeros!$B$5:$B$11,0))="","",INDEX(Viajeros!$C$5:$C$11,MATCH(A8,Viajeros!$B$5:$B$11,0))),""))</f>
        <v/>
      </c>
      <c r="C8" s="14">
        <f>IF(A8="","",IFERROR(INDEX(Viajeros!$D$5:$D$11,MATCH(A8,Viajeros!$B$5:$B$11,0))&amp;"",""))</f>
        <v/>
      </c>
      <c r="D8" s="13">
        <f>IF(A8="","",IFERROR(IF(INDEX(Viajeros!$E$5:$E$11,MATCH(A8,Viajeros!$B$5:$B$11,0))="","",INDEX(Viajeros!$E$5:$E$11,MATCH(A8,Viajeros!$B$5:$B$11,0))),""))</f>
        <v/>
      </c>
      <c r="E8" s="6" t="n"/>
      <c r="F8" s="6" t="n"/>
      <c r="G8" s="16">
        <f>IF(AND(ISNUMBER(E8),ISNUMBER(F8)),F8-E8,"")</f>
        <v/>
      </c>
      <c r="H8" s="5" t="n"/>
      <c r="I8" s="5" t="n"/>
      <c r="J8" s="5" t="n"/>
    </row>
    <row r="9">
      <c r="A9" s="5" t="n"/>
      <c r="B9" s="13">
        <f>IF(A9="","",IFERROR(IF(INDEX(Viajeros!$C$5:$C$11,MATCH(A9,Viajeros!$B$5:$B$11,0))="","",INDEX(Viajeros!$C$5:$C$11,MATCH(A9,Viajeros!$B$5:$B$11,0))),""))</f>
        <v/>
      </c>
      <c r="C9" s="14">
        <f>IF(A9="","",IFERROR(INDEX(Viajeros!$D$5:$D$11,MATCH(A9,Viajeros!$B$5:$B$11,0))&amp;"",""))</f>
        <v/>
      </c>
      <c r="D9" s="13">
        <f>IF(A9="","",IFERROR(IF(INDEX(Viajeros!$E$5:$E$11,MATCH(A9,Viajeros!$B$5:$B$11,0))="","",INDEX(Viajeros!$E$5:$E$11,MATCH(A9,Viajeros!$B$5:$B$11,0))),""))</f>
        <v/>
      </c>
      <c r="E9" s="6" t="n"/>
      <c r="F9" s="6" t="n"/>
      <c r="G9" s="16">
        <f>IF(AND(ISNUMBER(E9),ISNUMBER(F9)),F9-E9,"")</f>
        <v/>
      </c>
      <c r="H9" s="5" t="n"/>
      <c r="I9" s="5" t="n"/>
      <c r="J9" s="5" t="n"/>
    </row>
    <row r="10">
      <c r="A10" s="5" t="n"/>
      <c r="B10" s="13">
        <f>IF(A10="","",IFERROR(IF(INDEX(Viajeros!$C$5:$C$11,MATCH(A10,Viajeros!$B$5:$B$11,0))="","",INDEX(Viajeros!$C$5:$C$11,MATCH(A10,Viajeros!$B$5:$B$11,0))),""))</f>
        <v/>
      </c>
      <c r="C10" s="14">
        <f>IF(A10="","",IFERROR(INDEX(Viajeros!$D$5:$D$11,MATCH(A10,Viajeros!$B$5:$B$11,0))&amp;"",""))</f>
        <v/>
      </c>
      <c r="D10" s="13">
        <f>IF(A10="","",IFERROR(IF(INDEX(Viajeros!$E$5:$E$11,MATCH(A10,Viajeros!$B$5:$B$11,0))="","",INDEX(Viajeros!$E$5:$E$11,MATCH(A10,Viajeros!$B$5:$B$11,0))),""))</f>
        <v/>
      </c>
      <c r="E10" s="6" t="n"/>
      <c r="F10" s="6" t="n"/>
      <c r="G10" s="16">
        <f>IF(AND(ISNUMBER(E10),ISNUMBER(F10)),F10-E10,"")</f>
        <v/>
      </c>
      <c r="H10" s="5" t="n"/>
      <c r="I10" s="5" t="n"/>
      <c r="J10" s="5" t="n"/>
    </row>
    <row r="11">
      <c r="A11" s="5" t="n"/>
      <c r="B11" s="13">
        <f>IF(A11="","",IFERROR(IF(INDEX(Viajeros!$C$5:$C$11,MATCH(A11,Viajeros!$B$5:$B$11,0))="","",INDEX(Viajeros!$C$5:$C$11,MATCH(A11,Viajeros!$B$5:$B$11,0))),""))</f>
        <v/>
      </c>
      <c r="C11" s="14">
        <f>IF(A11="","",IFERROR(INDEX(Viajeros!$D$5:$D$11,MATCH(A11,Viajeros!$B$5:$B$11,0))&amp;"",""))</f>
        <v/>
      </c>
      <c r="D11" s="13">
        <f>IF(A11="","",IFERROR(IF(INDEX(Viajeros!$E$5:$E$11,MATCH(A11,Viajeros!$B$5:$B$11,0))="","",INDEX(Viajeros!$E$5:$E$11,MATCH(A11,Viajeros!$B$5:$B$11,0))),""))</f>
        <v/>
      </c>
      <c r="E11" s="6" t="n"/>
      <c r="F11" s="6" t="n"/>
      <c r="G11" s="16">
        <f>IF(AND(ISNUMBER(E11),ISNUMBER(F11)),F11-E11,"")</f>
        <v/>
      </c>
      <c r="H11" s="5" t="n"/>
      <c r="I11" s="5" t="n"/>
      <c r="J11" s="5" t="n"/>
    </row>
    <row r="12">
      <c r="A12" s="5" t="n"/>
      <c r="B12" s="13">
        <f>IF(A12="","",IFERROR(IF(INDEX(Viajeros!$C$5:$C$11,MATCH(A12,Viajeros!$B$5:$B$11,0))="","",INDEX(Viajeros!$C$5:$C$11,MATCH(A12,Viajeros!$B$5:$B$11,0))),""))</f>
        <v/>
      </c>
      <c r="C12" s="14">
        <f>IF(A12="","",IFERROR(INDEX(Viajeros!$D$5:$D$11,MATCH(A12,Viajeros!$B$5:$B$11,0))&amp;"",""))</f>
        <v/>
      </c>
      <c r="D12" s="13">
        <f>IF(A12="","",IFERROR(IF(INDEX(Viajeros!$E$5:$E$11,MATCH(A12,Viajeros!$B$5:$B$11,0))="","",INDEX(Viajeros!$E$5:$E$11,MATCH(A12,Viajeros!$B$5:$B$11,0))),""))</f>
        <v/>
      </c>
      <c r="E12" s="6" t="n"/>
      <c r="F12" s="6" t="n"/>
      <c r="G12" s="16">
        <f>IF(AND(ISNUMBER(E12),ISNUMBER(F12)),F12-E12,"")</f>
        <v/>
      </c>
      <c r="H12" s="5" t="n"/>
      <c r="I12" s="5" t="n"/>
      <c r="J12" s="5" t="n"/>
    </row>
    <row r="13">
      <c r="A13" s="5" t="n"/>
      <c r="B13" s="13">
        <f>IF(A13="","",IFERROR(IF(INDEX(Viajeros!$C$5:$C$11,MATCH(A13,Viajeros!$B$5:$B$11,0))="","",INDEX(Viajeros!$C$5:$C$11,MATCH(A13,Viajeros!$B$5:$B$11,0))),""))</f>
        <v/>
      </c>
      <c r="C13" s="14">
        <f>IF(A13="","",IFERROR(INDEX(Viajeros!$D$5:$D$11,MATCH(A13,Viajeros!$B$5:$B$11,0))&amp;"",""))</f>
        <v/>
      </c>
      <c r="D13" s="13">
        <f>IF(A13="","",IFERROR(IF(INDEX(Viajeros!$E$5:$E$11,MATCH(A13,Viajeros!$B$5:$B$11,0))="","",INDEX(Viajeros!$E$5:$E$11,MATCH(A13,Viajeros!$B$5:$B$11,0))),""))</f>
        <v/>
      </c>
      <c r="E13" s="6" t="n"/>
      <c r="F13" s="6" t="n"/>
      <c r="G13" s="16">
        <f>IF(AND(ISNUMBER(E13),ISNUMBER(F13)),F13-E13,"")</f>
        <v/>
      </c>
      <c r="H13" s="5" t="n"/>
      <c r="I13" s="5" t="n"/>
      <c r="J13" s="5" t="n"/>
    </row>
    <row r="14">
      <c r="A14" s="5" t="n"/>
      <c r="B14" s="13">
        <f>IF(A14="","",IFERROR(IF(INDEX(Viajeros!$C$5:$C$11,MATCH(A14,Viajeros!$B$5:$B$11,0))="","",INDEX(Viajeros!$C$5:$C$11,MATCH(A14,Viajeros!$B$5:$B$11,0))),""))</f>
        <v/>
      </c>
      <c r="C14" s="14">
        <f>IF(A14="","",IFERROR(INDEX(Viajeros!$D$5:$D$11,MATCH(A14,Viajeros!$B$5:$B$11,0))&amp;"",""))</f>
        <v/>
      </c>
      <c r="D14" s="13">
        <f>IF(A14="","",IFERROR(IF(INDEX(Viajeros!$E$5:$E$11,MATCH(A14,Viajeros!$B$5:$B$11,0))="","",INDEX(Viajeros!$E$5:$E$11,MATCH(A14,Viajeros!$B$5:$B$11,0))),""))</f>
        <v/>
      </c>
      <c r="E14" s="6" t="n"/>
      <c r="F14" s="6" t="n"/>
      <c r="G14" s="16">
        <f>IF(AND(ISNUMBER(E14),ISNUMBER(F14)),F14-E14,"")</f>
        <v/>
      </c>
      <c r="H14" s="5" t="n"/>
      <c r="I14" s="5" t="n"/>
      <c r="J14" s="5" t="n"/>
    </row>
    <row r="15">
      <c r="A15" s="5" t="n"/>
      <c r="B15" s="13">
        <f>IF(A15="","",IFERROR(IF(INDEX(Viajeros!$C$5:$C$11,MATCH(A15,Viajeros!$B$5:$B$11,0))="","",INDEX(Viajeros!$C$5:$C$11,MATCH(A15,Viajeros!$B$5:$B$11,0))),""))</f>
        <v/>
      </c>
      <c r="C15" s="14">
        <f>IF(A15="","",IFERROR(INDEX(Viajeros!$D$5:$D$11,MATCH(A15,Viajeros!$B$5:$B$11,0))&amp;"",""))</f>
        <v/>
      </c>
      <c r="D15" s="13">
        <f>IF(A15="","",IFERROR(IF(INDEX(Viajeros!$E$5:$E$11,MATCH(A15,Viajeros!$B$5:$B$11,0))="","",INDEX(Viajeros!$E$5:$E$11,MATCH(A15,Viajeros!$B$5:$B$11,0))),""))</f>
        <v/>
      </c>
      <c r="E15" s="6" t="n"/>
      <c r="F15" s="6" t="n"/>
      <c r="G15" s="16">
        <f>IF(AND(ISNUMBER(E15),ISNUMBER(F15)),F15-E15,"")</f>
        <v/>
      </c>
      <c r="H15" s="5" t="n"/>
      <c r="I15" s="5" t="n"/>
      <c r="J15" s="5" t="n"/>
    </row>
    <row r="16">
      <c r="A16" s="5" t="n"/>
      <c r="B16" s="13">
        <f>IF(A16="","",IFERROR(IF(INDEX(Viajeros!$C$5:$C$11,MATCH(A16,Viajeros!$B$5:$B$11,0))="","",INDEX(Viajeros!$C$5:$C$11,MATCH(A16,Viajeros!$B$5:$B$11,0))),""))</f>
        <v/>
      </c>
      <c r="C16" s="14">
        <f>IF(A16="","",IFERROR(INDEX(Viajeros!$D$5:$D$11,MATCH(A16,Viajeros!$B$5:$B$11,0))&amp;"",""))</f>
        <v/>
      </c>
      <c r="D16" s="13">
        <f>IF(A16="","",IFERROR(IF(INDEX(Viajeros!$E$5:$E$11,MATCH(A16,Viajeros!$B$5:$B$11,0))="","",INDEX(Viajeros!$E$5:$E$11,MATCH(A16,Viajeros!$B$5:$B$11,0))),""))</f>
        <v/>
      </c>
      <c r="E16" s="6" t="n"/>
      <c r="F16" s="6" t="n"/>
      <c r="G16" s="16">
        <f>IF(AND(ISNUMBER(E16),ISNUMBER(F16)),F16-E16,"")</f>
        <v/>
      </c>
      <c r="H16" s="5" t="n"/>
      <c r="I16" s="5" t="n"/>
      <c r="J16" s="5" t="n"/>
    </row>
    <row r="17">
      <c r="A17" s="5" t="n"/>
      <c r="B17" s="13">
        <f>IF(A17="","",IFERROR(IF(INDEX(Viajeros!$C$5:$C$11,MATCH(A17,Viajeros!$B$5:$B$11,0))="","",INDEX(Viajeros!$C$5:$C$11,MATCH(A17,Viajeros!$B$5:$B$11,0))),""))</f>
        <v/>
      </c>
      <c r="C17" s="14">
        <f>IF(A17="","",IFERROR(INDEX(Viajeros!$D$5:$D$11,MATCH(A17,Viajeros!$B$5:$B$11,0))&amp;"",""))</f>
        <v/>
      </c>
      <c r="D17" s="13">
        <f>IF(A17="","",IFERROR(IF(INDEX(Viajeros!$E$5:$E$11,MATCH(A17,Viajeros!$B$5:$B$11,0))="","",INDEX(Viajeros!$E$5:$E$11,MATCH(A17,Viajeros!$B$5:$B$11,0))),""))</f>
        <v/>
      </c>
      <c r="E17" s="6" t="n"/>
      <c r="F17" s="6" t="n"/>
      <c r="G17" s="16">
        <f>IF(AND(ISNUMBER(E17),ISNUMBER(F17)),F17-E17,"")</f>
        <v/>
      </c>
      <c r="H17" s="5" t="n"/>
      <c r="I17" s="5" t="n"/>
      <c r="J17" s="5" t="n"/>
    </row>
    <row r="18">
      <c r="A18" s="5" t="n"/>
      <c r="B18" s="13">
        <f>IF(A18="","",IFERROR(IF(INDEX(Viajeros!$C$5:$C$11,MATCH(A18,Viajeros!$B$5:$B$11,0))="","",INDEX(Viajeros!$C$5:$C$11,MATCH(A18,Viajeros!$B$5:$B$11,0))),""))</f>
        <v/>
      </c>
      <c r="C18" s="14">
        <f>IF(A18="","",IFERROR(INDEX(Viajeros!$D$5:$D$11,MATCH(A18,Viajeros!$B$5:$B$11,0))&amp;"",""))</f>
        <v/>
      </c>
      <c r="D18" s="13">
        <f>IF(A18="","",IFERROR(IF(INDEX(Viajeros!$E$5:$E$11,MATCH(A18,Viajeros!$B$5:$B$11,0))="","",INDEX(Viajeros!$E$5:$E$11,MATCH(A18,Viajeros!$B$5:$B$11,0))),""))</f>
        <v/>
      </c>
      <c r="E18" s="6" t="n"/>
      <c r="F18" s="6" t="n"/>
      <c r="G18" s="16">
        <f>IF(AND(ISNUMBER(E18),ISNUMBER(F18)),F18-E18,"")</f>
        <v/>
      </c>
      <c r="H18" s="5" t="n"/>
      <c r="I18" s="5" t="n"/>
      <c r="J18" s="5" t="n"/>
    </row>
    <row r="19">
      <c r="A19" s="5" t="n"/>
      <c r="B19" s="13">
        <f>IF(A19="","",IFERROR(IF(INDEX(Viajeros!$C$5:$C$11,MATCH(A19,Viajeros!$B$5:$B$11,0))="","",INDEX(Viajeros!$C$5:$C$11,MATCH(A19,Viajeros!$B$5:$B$11,0))),""))</f>
        <v/>
      </c>
      <c r="C19" s="14">
        <f>IF(A19="","",IFERROR(INDEX(Viajeros!$D$5:$D$11,MATCH(A19,Viajeros!$B$5:$B$11,0))&amp;"",""))</f>
        <v/>
      </c>
      <c r="D19" s="13">
        <f>IF(A19="","",IFERROR(IF(INDEX(Viajeros!$E$5:$E$11,MATCH(A19,Viajeros!$B$5:$B$11,0))="","",INDEX(Viajeros!$E$5:$E$11,MATCH(A19,Viajeros!$B$5:$B$11,0))),""))</f>
        <v/>
      </c>
      <c r="E19" s="6" t="n"/>
      <c r="F19" s="6" t="n"/>
      <c r="G19" s="16">
        <f>IF(AND(ISNUMBER(E19),ISNUMBER(F19)),F19-E19,"")</f>
        <v/>
      </c>
      <c r="H19" s="5" t="n"/>
      <c r="I19" s="5" t="n"/>
      <c r="J19" s="5" t="n"/>
    </row>
    <row r="20">
      <c r="A20" s="5" t="n"/>
      <c r="B20" s="13">
        <f>IF(A20="","",IFERROR(IF(INDEX(Viajeros!$C$5:$C$11,MATCH(A20,Viajeros!$B$5:$B$11,0))="","",INDEX(Viajeros!$C$5:$C$11,MATCH(A20,Viajeros!$B$5:$B$11,0))),""))</f>
        <v/>
      </c>
      <c r="C20" s="14">
        <f>IF(A20="","",IFERROR(INDEX(Viajeros!$D$5:$D$11,MATCH(A20,Viajeros!$B$5:$B$11,0))&amp;"",""))</f>
        <v/>
      </c>
      <c r="D20" s="13">
        <f>IF(A20="","",IFERROR(IF(INDEX(Viajeros!$E$5:$E$11,MATCH(A20,Viajeros!$B$5:$B$11,0))="","",INDEX(Viajeros!$E$5:$E$11,MATCH(A20,Viajeros!$B$5:$B$11,0))),""))</f>
        <v/>
      </c>
      <c r="E20" s="6" t="n"/>
      <c r="F20" s="6" t="n"/>
      <c r="G20" s="16">
        <f>IF(AND(ISNUMBER(E20),ISNUMBER(F20)),F20-E20,"")</f>
        <v/>
      </c>
      <c r="H20" s="5" t="n"/>
      <c r="I20" s="5" t="n"/>
      <c r="J20" s="5" t="n"/>
    </row>
    <row r="21">
      <c r="A21" s="5" t="n"/>
      <c r="B21" s="13">
        <f>IF(A21="","",IFERROR(IF(INDEX(Viajeros!$C$5:$C$11,MATCH(A21,Viajeros!$B$5:$B$11,0))="","",INDEX(Viajeros!$C$5:$C$11,MATCH(A21,Viajeros!$B$5:$B$11,0))),""))</f>
        <v/>
      </c>
      <c r="C21" s="14">
        <f>IF(A21="","",IFERROR(INDEX(Viajeros!$D$5:$D$11,MATCH(A21,Viajeros!$B$5:$B$11,0))&amp;"",""))</f>
        <v/>
      </c>
      <c r="D21" s="13">
        <f>IF(A21="","",IFERROR(IF(INDEX(Viajeros!$E$5:$E$11,MATCH(A21,Viajeros!$B$5:$B$11,0))="","",INDEX(Viajeros!$E$5:$E$11,MATCH(A21,Viajeros!$B$5:$B$11,0))),""))</f>
        <v/>
      </c>
      <c r="E21" s="6" t="n"/>
      <c r="F21" s="6" t="n"/>
      <c r="G21" s="16">
        <f>IF(AND(ISNUMBER(E21),ISNUMBER(F21)),F21-E21,"")</f>
        <v/>
      </c>
      <c r="H21" s="5" t="n"/>
      <c r="I21" s="5" t="n"/>
      <c r="J21" s="5" t="n"/>
    </row>
    <row r="22">
      <c r="A22" s="5" t="n"/>
      <c r="B22" s="13">
        <f>IF(A22="","",IFERROR(IF(INDEX(Viajeros!$C$5:$C$11,MATCH(A22,Viajeros!$B$5:$B$11,0))="","",INDEX(Viajeros!$C$5:$C$11,MATCH(A22,Viajeros!$B$5:$B$11,0))),""))</f>
        <v/>
      </c>
      <c r="C22" s="14">
        <f>IF(A22="","",IFERROR(INDEX(Viajeros!$D$5:$D$11,MATCH(A22,Viajeros!$B$5:$B$11,0))&amp;"",""))</f>
        <v/>
      </c>
      <c r="D22" s="13">
        <f>IF(A22="","",IFERROR(IF(INDEX(Viajeros!$E$5:$E$11,MATCH(A22,Viajeros!$B$5:$B$11,0))="","",INDEX(Viajeros!$E$5:$E$11,MATCH(A22,Viajeros!$B$5:$B$11,0))),""))</f>
        <v/>
      </c>
      <c r="E22" s="6" t="n"/>
      <c r="F22" s="6" t="n"/>
      <c r="G22" s="16">
        <f>IF(AND(ISNUMBER(E22),ISNUMBER(F22)),F22-E22,"")</f>
        <v/>
      </c>
      <c r="H22" s="5" t="n"/>
      <c r="I22" s="5" t="n"/>
      <c r="J22" s="5" t="n"/>
    </row>
    <row r="23">
      <c r="A23" s="5" t="n"/>
      <c r="B23" s="13">
        <f>IF(A23="","",IFERROR(IF(INDEX(Viajeros!$C$5:$C$11,MATCH(A23,Viajeros!$B$5:$B$11,0))="","",INDEX(Viajeros!$C$5:$C$11,MATCH(A23,Viajeros!$B$5:$B$11,0))),""))</f>
        <v/>
      </c>
      <c r="C23" s="14">
        <f>IF(A23="","",IFERROR(INDEX(Viajeros!$D$5:$D$11,MATCH(A23,Viajeros!$B$5:$B$11,0))&amp;"",""))</f>
        <v/>
      </c>
      <c r="D23" s="13">
        <f>IF(A23="","",IFERROR(IF(INDEX(Viajeros!$E$5:$E$11,MATCH(A23,Viajeros!$B$5:$B$11,0))="","",INDEX(Viajeros!$E$5:$E$11,MATCH(A23,Viajeros!$B$5:$B$11,0))),""))</f>
        <v/>
      </c>
      <c r="E23" s="6" t="n"/>
      <c r="F23" s="6" t="n"/>
      <c r="G23" s="16">
        <f>IF(AND(ISNUMBER(E23),ISNUMBER(F23)),F23-E23,"")</f>
        <v/>
      </c>
      <c r="H23" s="5" t="n"/>
      <c r="I23" s="5" t="n"/>
      <c r="J23" s="5" t="n"/>
    </row>
    <row r="24">
      <c r="A24" s="5" t="n"/>
      <c r="B24" s="13">
        <f>IF(A24="","",IFERROR(IF(INDEX(Viajeros!$C$5:$C$11,MATCH(A24,Viajeros!$B$5:$B$11,0))="","",INDEX(Viajeros!$C$5:$C$11,MATCH(A24,Viajeros!$B$5:$B$11,0))),""))</f>
        <v/>
      </c>
      <c r="C24" s="14">
        <f>IF(A24="","",IFERROR(INDEX(Viajeros!$D$5:$D$11,MATCH(A24,Viajeros!$B$5:$B$11,0))&amp;"",""))</f>
        <v/>
      </c>
      <c r="D24" s="13">
        <f>IF(A24="","",IFERROR(IF(INDEX(Viajeros!$E$5:$E$11,MATCH(A24,Viajeros!$B$5:$B$11,0))="","",INDEX(Viajeros!$E$5:$E$11,MATCH(A24,Viajeros!$B$5:$B$11,0))),""))</f>
        <v/>
      </c>
      <c r="E24" s="6" t="n"/>
      <c r="F24" s="6" t="n"/>
      <c r="G24" s="16">
        <f>IF(AND(ISNUMBER(E24),ISNUMBER(F24)),F24-E24,"")</f>
        <v/>
      </c>
      <c r="H24" s="5" t="n"/>
      <c r="I24" s="5" t="n"/>
      <c r="J24" s="5" t="n"/>
    </row>
    <row r="25">
      <c r="A25" s="5" t="n"/>
      <c r="B25" s="13">
        <f>IF(A25="","",IFERROR(IF(INDEX(Viajeros!$C$5:$C$11,MATCH(A25,Viajeros!$B$5:$B$11,0))="","",INDEX(Viajeros!$C$5:$C$11,MATCH(A25,Viajeros!$B$5:$B$11,0))),""))</f>
        <v/>
      </c>
      <c r="C25" s="14">
        <f>IF(A25="","",IFERROR(INDEX(Viajeros!$D$5:$D$11,MATCH(A25,Viajeros!$B$5:$B$11,0))&amp;"",""))</f>
        <v/>
      </c>
      <c r="D25" s="13">
        <f>IF(A25="","",IFERROR(IF(INDEX(Viajeros!$E$5:$E$11,MATCH(A25,Viajeros!$B$5:$B$11,0))="","",INDEX(Viajeros!$E$5:$E$11,MATCH(A25,Viajeros!$B$5:$B$11,0))),""))</f>
        <v/>
      </c>
      <c r="E25" s="6" t="n"/>
      <c r="F25" s="6" t="n"/>
      <c r="G25" s="16">
        <f>IF(AND(ISNUMBER(E25),ISNUMBER(F25)),F25-E25,"")</f>
        <v/>
      </c>
      <c r="H25" s="5" t="n"/>
      <c r="I25" s="5" t="n"/>
      <c r="J25" s="5" t="n"/>
    </row>
    <row r="26">
      <c r="A26" s="5" t="n"/>
      <c r="B26" s="13">
        <f>IF(A26="","",IFERROR(IF(INDEX(Viajeros!$C$5:$C$11,MATCH(A26,Viajeros!$B$5:$B$11,0))="","",INDEX(Viajeros!$C$5:$C$11,MATCH(A26,Viajeros!$B$5:$B$11,0))),""))</f>
        <v/>
      </c>
      <c r="C26" s="14">
        <f>IF(A26="","",IFERROR(INDEX(Viajeros!$D$5:$D$11,MATCH(A26,Viajeros!$B$5:$B$11,0))&amp;"",""))</f>
        <v/>
      </c>
      <c r="D26" s="13">
        <f>IF(A26="","",IFERROR(IF(INDEX(Viajeros!$E$5:$E$11,MATCH(A26,Viajeros!$B$5:$B$11,0))="","",INDEX(Viajeros!$E$5:$E$11,MATCH(A26,Viajeros!$B$5:$B$11,0))),""))</f>
        <v/>
      </c>
      <c r="E26" s="6" t="n"/>
      <c r="F26" s="6" t="n"/>
      <c r="G26" s="16">
        <f>IF(AND(ISNUMBER(E26),ISNUMBER(F26)),F26-E26,"")</f>
        <v/>
      </c>
      <c r="H26" s="5" t="n"/>
      <c r="I26" s="5" t="n"/>
      <c r="J26" s="5" t="n"/>
    </row>
    <row r="27">
      <c r="A27" s="5" t="n"/>
      <c r="B27" s="13">
        <f>IF(A27="","",IFERROR(IF(INDEX(Viajeros!$C$5:$C$11,MATCH(A27,Viajeros!$B$5:$B$11,0))="","",INDEX(Viajeros!$C$5:$C$11,MATCH(A27,Viajeros!$B$5:$B$11,0))),""))</f>
        <v/>
      </c>
      <c r="C27" s="14">
        <f>IF(A27="","",IFERROR(INDEX(Viajeros!$D$5:$D$11,MATCH(A27,Viajeros!$B$5:$B$11,0))&amp;"",""))</f>
        <v/>
      </c>
      <c r="D27" s="13">
        <f>IF(A27="","",IFERROR(IF(INDEX(Viajeros!$E$5:$E$11,MATCH(A27,Viajeros!$B$5:$B$11,0))="","",INDEX(Viajeros!$E$5:$E$11,MATCH(A27,Viajeros!$B$5:$B$11,0))),""))</f>
        <v/>
      </c>
      <c r="E27" s="6" t="n"/>
      <c r="F27" s="6" t="n"/>
      <c r="G27" s="16">
        <f>IF(AND(ISNUMBER(E27),ISNUMBER(F27)),F27-E27,"")</f>
        <v/>
      </c>
      <c r="H27" s="5" t="n"/>
      <c r="I27" s="5" t="n"/>
      <c r="J27" s="5" t="n"/>
    </row>
    <row r="28">
      <c r="A28" s="5" t="n"/>
      <c r="B28" s="13">
        <f>IF(A28="","",IFERROR(IF(INDEX(Viajeros!$C$5:$C$11,MATCH(A28,Viajeros!$B$5:$B$11,0))="","",INDEX(Viajeros!$C$5:$C$11,MATCH(A28,Viajeros!$B$5:$B$11,0))),""))</f>
        <v/>
      </c>
      <c r="C28" s="14">
        <f>IF(A28="","",IFERROR(INDEX(Viajeros!$D$5:$D$11,MATCH(A28,Viajeros!$B$5:$B$11,0))&amp;"",""))</f>
        <v/>
      </c>
      <c r="D28" s="13">
        <f>IF(A28="","",IFERROR(IF(INDEX(Viajeros!$E$5:$E$11,MATCH(A28,Viajeros!$B$5:$B$11,0))="","",INDEX(Viajeros!$E$5:$E$11,MATCH(A28,Viajeros!$B$5:$B$11,0))),""))</f>
        <v/>
      </c>
      <c r="E28" s="6" t="n"/>
      <c r="F28" s="6" t="n"/>
      <c r="G28" s="16">
        <f>IF(AND(ISNUMBER(E28),ISNUMBER(F28)),F28-E28,"")</f>
        <v/>
      </c>
      <c r="H28" s="5" t="n"/>
      <c r="I28" s="5" t="n"/>
      <c r="J28" s="5" t="n"/>
    </row>
    <row r="29">
      <c r="A29" s="5" t="n"/>
      <c r="B29" s="13">
        <f>IF(A29="","",IFERROR(IF(INDEX(Viajeros!$C$5:$C$11,MATCH(A29,Viajeros!$B$5:$B$11,0))="","",INDEX(Viajeros!$C$5:$C$11,MATCH(A29,Viajeros!$B$5:$B$11,0))),""))</f>
        <v/>
      </c>
      <c r="C29" s="14">
        <f>IF(A29="","",IFERROR(INDEX(Viajeros!$D$5:$D$11,MATCH(A29,Viajeros!$B$5:$B$11,0))&amp;"",""))</f>
        <v/>
      </c>
      <c r="D29" s="13">
        <f>IF(A29="","",IFERROR(IF(INDEX(Viajeros!$E$5:$E$11,MATCH(A29,Viajeros!$B$5:$B$11,0))="","",INDEX(Viajeros!$E$5:$E$11,MATCH(A29,Viajeros!$B$5:$B$11,0))),""))</f>
        <v/>
      </c>
      <c r="E29" s="6" t="n"/>
      <c r="F29" s="6" t="n"/>
      <c r="G29" s="16">
        <f>IF(AND(ISNUMBER(E29),ISNUMBER(F29)),F29-E29,"")</f>
        <v/>
      </c>
      <c r="H29" s="5" t="n"/>
      <c r="I29" s="5" t="n"/>
      <c r="J29" s="5" t="n"/>
    </row>
    <row r="30">
      <c r="A30" s="5" t="n"/>
      <c r="B30" s="13">
        <f>IF(A30="","",IFERROR(IF(INDEX(Viajeros!$C$5:$C$11,MATCH(A30,Viajeros!$B$5:$B$11,0))="","",INDEX(Viajeros!$C$5:$C$11,MATCH(A30,Viajeros!$B$5:$B$11,0))),""))</f>
        <v/>
      </c>
      <c r="C30" s="14">
        <f>IF(A30="","",IFERROR(INDEX(Viajeros!$D$5:$D$11,MATCH(A30,Viajeros!$B$5:$B$11,0))&amp;"",""))</f>
        <v/>
      </c>
      <c r="D30" s="13">
        <f>IF(A30="","",IFERROR(IF(INDEX(Viajeros!$E$5:$E$11,MATCH(A30,Viajeros!$B$5:$B$11,0))="","",INDEX(Viajeros!$E$5:$E$11,MATCH(A30,Viajeros!$B$5:$B$11,0))),""))</f>
        <v/>
      </c>
      <c r="E30" s="6" t="n"/>
      <c r="F30" s="6" t="n"/>
      <c r="G30" s="16">
        <f>IF(AND(ISNUMBER(E30),ISNUMBER(F30)),F30-E30,"")</f>
        <v/>
      </c>
      <c r="H30" s="5" t="n"/>
      <c r="I30" s="5" t="n"/>
      <c r="J30" s="5" t="n"/>
    </row>
    <row r="31">
      <c r="A31" s="5" t="n"/>
      <c r="B31" s="13">
        <f>IF(A31="","",IFERROR(IF(INDEX(Viajeros!$C$5:$C$11,MATCH(A31,Viajeros!$B$5:$B$11,0))="","",INDEX(Viajeros!$C$5:$C$11,MATCH(A31,Viajeros!$B$5:$B$11,0))),""))</f>
        <v/>
      </c>
      <c r="C31" s="14">
        <f>IF(A31="","",IFERROR(INDEX(Viajeros!$D$5:$D$11,MATCH(A31,Viajeros!$B$5:$B$11,0))&amp;"",""))</f>
        <v/>
      </c>
      <c r="D31" s="13">
        <f>IF(A31="","",IFERROR(IF(INDEX(Viajeros!$E$5:$E$11,MATCH(A31,Viajeros!$B$5:$B$11,0))="","",INDEX(Viajeros!$E$5:$E$11,MATCH(A31,Viajeros!$B$5:$B$11,0))),""))</f>
        <v/>
      </c>
      <c r="E31" s="6" t="n"/>
      <c r="F31" s="6" t="n"/>
      <c r="G31" s="16">
        <f>IF(AND(ISNUMBER(E31),ISNUMBER(F31)),F31-E31,"")</f>
        <v/>
      </c>
      <c r="H31" s="5" t="n"/>
      <c r="I31" s="5" t="n"/>
      <c r="J31" s="5" t="n"/>
    </row>
    <row r="32">
      <c r="A32" s="5" t="n"/>
      <c r="B32" s="13">
        <f>IF(A32="","",IFERROR(IF(INDEX(Viajeros!$C$5:$C$11,MATCH(A32,Viajeros!$B$5:$B$11,0))="","",INDEX(Viajeros!$C$5:$C$11,MATCH(A32,Viajeros!$B$5:$B$11,0))),""))</f>
        <v/>
      </c>
      <c r="C32" s="14">
        <f>IF(A32="","",IFERROR(INDEX(Viajeros!$D$5:$D$11,MATCH(A32,Viajeros!$B$5:$B$11,0))&amp;"",""))</f>
        <v/>
      </c>
      <c r="D32" s="13">
        <f>IF(A32="","",IFERROR(IF(INDEX(Viajeros!$E$5:$E$11,MATCH(A32,Viajeros!$B$5:$B$11,0))="","",INDEX(Viajeros!$E$5:$E$11,MATCH(A32,Viajeros!$B$5:$B$11,0))),""))</f>
        <v/>
      </c>
      <c r="E32" s="6" t="n"/>
      <c r="F32" s="6" t="n"/>
      <c r="G32" s="16">
        <f>IF(AND(ISNUMBER(E32),ISNUMBER(F32)),F32-E32,"")</f>
        <v/>
      </c>
      <c r="H32" s="5" t="n"/>
      <c r="I32" s="5" t="n"/>
      <c r="J32" s="5" t="n"/>
    </row>
    <row r="33">
      <c r="A33" s="5" t="n"/>
      <c r="B33" s="13">
        <f>IF(A33="","",IFERROR(IF(INDEX(Viajeros!$C$5:$C$11,MATCH(A33,Viajeros!$B$5:$B$11,0))="","",INDEX(Viajeros!$C$5:$C$11,MATCH(A33,Viajeros!$B$5:$B$11,0))),""))</f>
        <v/>
      </c>
      <c r="C33" s="14">
        <f>IF(A33="","",IFERROR(INDEX(Viajeros!$D$5:$D$11,MATCH(A33,Viajeros!$B$5:$B$11,0))&amp;"",""))</f>
        <v/>
      </c>
      <c r="D33" s="13">
        <f>IF(A33="","",IFERROR(IF(INDEX(Viajeros!$E$5:$E$11,MATCH(A33,Viajeros!$B$5:$B$11,0))="","",INDEX(Viajeros!$E$5:$E$11,MATCH(A33,Viajeros!$B$5:$B$11,0))),""))</f>
        <v/>
      </c>
      <c r="E33" s="6" t="n"/>
      <c r="F33" s="6" t="n"/>
      <c r="G33" s="16">
        <f>IF(AND(ISNUMBER(E33),ISNUMBER(F33)),F33-E33,"")</f>
        <v/>
      </c>
      <c r="H33" s="5" t="n"/>
      <c r="I33" s="5" t="n"/>
      <c r="J33" s="5" t="n"/>
    </row>
    <row r="34">
      <c r="A34" s="5" t="n"/>
      <c r="B34" s="13">
        <f>IF(A34="","",IFERROR(IF(INDEX(Viajeros!$C$5:$C$11,MATCH(A34,Viajeros!$B$5:$B$11,0))="","",INDEX(Viajeros!$C$5:$C$11,MATCH(A34,Viajeros!$B$5:$B$11,0))),""))</f>
        <v/>
      </c>
      <c r="C34" s="14">
        <f>IF(A34="","",IFERROR(INDEX(Viajeros!$D$5:$D$11,MATCH(A34,Viajeros!$B$5:$B$11,0))&amp;"",""))</f>
        <v/>
      </c>
      <c r="D34" s="13">
        <f>IF(A34="","",IFERROR(IF(INDEX(Viajeros!$E$5:$E$11,MATCH(A34,Viajeros!$B$5:$B$11,0))="","",INDEX(Viajeros!$E$5:$E$11,MATCH(A34,Viajeros!$B$5:$B$11,0))),""))</f>
        <v/>
      </c>
      <c r="E34" s="6" t="n"/>
      <c r="F34" s="6" t="n"/>
      <c r="G34" s="16">
        <f>IF(AND(ISNUMBER(E34),ISNUMBER(F34)),F34-E34,"")</f>
        <v/>
      </c>
      <c r="H34" s="5" t="n"/>
      <c r="I34" s="5" t="n"/>
      <c r="J34" s="5" t="n"/>
    </row>
    <row r="35">
      <c r="A35" s="5" t="n"/>
      <c r="B35" s="13">
        <f>IF(A35="","",IFERROR(IF(INDEX(Viajeros!$C$5:$C$11,MATCH(A35,Viajeros!$B$5:$B$11,0))="","",INDEX(Viajeros!$C$5:$C$11,MATCH(A35,Viajeros!$B$5:$B$11,0))),""))</f>
        <v/>
      </c>
      <c r="C35" s="14">
        <f>IF(A35="","",IFERROR(INDEX(Viajeros!$D$5:$D$11,MATCH(A35,Viajeros!$B$5:$B$11,0))&amp;"",""))</f>
        <v/>
      </c>
      <c r="D35" s="13">
        <f>IF(A35="","",IFERROR(IF(INDEX(Viajeros!$E$5:$E$11,MATCH(A35,Viajeros!$B$5:$B$11,0))="","",INDEX(Viajeros!$E$5:$E$11,MATCH(A35,Viajeros!$B$5:$B$11,0))),""))</f>
        <v/>
      </c>
      <c r="E35" s="6" t="n"/>
      <c r="F35" s="6" t="n"/>
      <c r="G35" s="16">
        <f>IF(AND(ISNUMBER(E35),ISNUMBER(F35)),F35-E35,"")</f>
        <v/>
      </c>
      <c r="H35" s="5" t="n"/>
      <c r="I35" s="5" t="n"/>
      <c r="J35" s="5" t="n"/>
    </row>
    <row r="36">
      <c r="A36" s="5" t="n"/>
      <c r="B36" s="13">
        <f>IF(A36="","",IFERROR(IF(INDEX(Viajeros!$C$5:$C$11,MATCH(A36,Viajeros!$B$5:$B$11,0))="","",INDEX(Viajeros!$C$5:$C$11,MATCH(A36,Viajeros!$B$5:$B$11,0))),""))</f>
        <v/>
      </c>
      <c r="C36" s="14">
        <f>IF(A36="","",IFERROR(INDEX(Viajeros!$D$5:$D$11,MATCH(A36,Viajeros!$B$5:$B$11,0))&amp;"",""))</f>
        <v/>
      </c>
      <c r="D36" s="13">
        <f>IF(A36="","",IFERROR(IF(INDEX(Viajeros!$E$5:$E$11,MATCH(A36,Viajeros!$B$5:$B$11,0))="","",INDEX(Viajeros!$E$5:$E$11,MATCH(A36,Viajeros!$B$5:$B$11,0))),""))</f>
        <v/>
      </c>
      <c r="E36" s="6" t="n"/>
      <c r="F36" s="6" t="n"/>
      <c r="G36" s="16">
        <f>IF(AND(ISNUMBER(E36),ISNUMBER(F36)),F36-E36,"")</f>
        <v/>
      </c>
      <c r="H36" s="5" t="n"/>
      <c r="I36" s="5" t="n"/>
      <c r="J36" s="5" t="n"/>
    </row>
    <row r="37">
      <c r="A37" s="5" t="n"/>
      <c r="B37" s="13">
        <f>IF(A37="","",IFERROR(IF(INDEX(Viajeros!$C$5:$C$11,MATCH(A37,Viajeros!$B$5:$B$11,0))="","",INDEX(Viajeros!$C$5:$C$11,MATCH(A37,Viajeros!$B$5:$B$11,0))),""))</f>
        <v/>
      </c>
      <c r="C37" s="14">
        <f>IF(A37="","",IFERROR(INDEX(Viajeros!$D$5:$D$11,MATCH(A37,Viajeros!$B$5:$B$11,0))&amp;"",""))</f>
        <v/>
      </c>
      <c r="D37" s="13">
        <f>IF(A37="","",IFERROR(IF(INDEX(Viajeros!$E$5:$E$11,MATCH(A37,Viajeros!$B$5:$B$11,0))="","",INDEX(Viajeros!$E$5:$E$11,MATCH(A37,Viajeros!$B$5:$B$11,0))),""))</f>
        <v/>
      </c>
      <c r="E37" s="6" t="n"/>
      <c r="F37" s="6" t="n"/>
      <c r="G37" s="16">
        <f>IF(AND(ISNUMBER(E37),ISNUMBER(F37)),F37-E37,"")</f>
        <v/>
      </c>
      <c r="H37" s="5" t="n"/>
      <c r="I37" s="5" t="n"/>
      <c r="J37" s="5" t="n"/>
    </row>
    <row r="38">
      <c r="A38" s="5" t="n"/>
      <c r="B38" s="13">
        <f>IF(A38="","",IFERROR(IF(INDEX(Viajeros!$C$5:$C$11,MATCH(A38,Viajeros!$B$5:$B$11,0))="","",INDEX(Viajeros!$C$5:$C$11,MATCH(A38,Viajeros!$B$5:$B$11,0))),""))</f>
        <v/>
      </c>
      <c r="C38" s="14">
        <f>IF(A38="","",IFERROR(INDEX(Viajeros!$D$5:$D$11,MATCH(A38,Viajeros!$B$5:$B$11,0))&amp;"",""))</f>
        <v/>
      </c>
      <c r="D38" s="13">
        <f>IF(A38="","",IFERROR(IF(INDEX(Viajeros!$E$5:$E$11,MATCH(A38,Viajeros!$B$5:$B$11,0))="","",INDEX(Viajeros!$E$5:$E$11,MATCH(A38,Viajeros!$B$5:$B$11,0))),""))</f>
        <v/>
      </c>
      <c r="E38" s="6" t="n"/>
      <c r="F38" s="6" t="n"/>
      <c r="G38" s="16">
        <f>IF(AND(ISNUMBER(E38),ISNUMBER(F38)),F38-E38,"")</f>
        <v/>
      </c>
      <c r="H38" s="5" t="n"/>
      <c r="I38" s="5" t="n"/>
      <c r="J38" s="5" t="n"/>
    </row>
    <row r="39">
      <c r="A39" s="5" t="n"/>
      <c r="B39" s="13">
        <f>IF(A39="","",IFERROR(IF(INDEX(Viajeros!$C$5:$C$11,MATCH(A39,Viajeros!$B$5:$B$11,0))="","",INDEX(Viajeros!$C$5:$C$11,MATCH(A39,Viajeros!$B$5:$B$11,0))),""))</f>
        <v/>
      </c>
      <c r="C39" s="14">
        <f>IF(A39="","",IFERROR(INDEX(Viajeros!$D$5:$D$11,MATCH(A39,Viajeros!$B$5:$B$11,0))&amp;"",""))</f>
        <v/>
      </c>
      <c r="D39" s="13">
        <f>IF(A39="","",IFERROR(IF(INDEX(Viajeros!$E$5:$E$11,MATCH(A39,Viajeros!$B$5:$B$11,0))="","",INDEX(Viajeros!$E$5:$E$11,MATCH(A39,Viajeros!$B$5:$B$11,0))),""))</f>
        <v/>
      </c>
      <c r="E39" s="6" t="n"/>
      <c r="F39" s="6" t="n"/>
      <c r="G39" s="16">
        <f>IF(AND(ISNUMBER(E39),ISNUMBER(F39)),F39-E39,"")</f>
        <v/>
      </c>
      <c r="H39" s="5" t="n"/>
      <c r="I39" s="5" t="n"/>
      <c r="J39" s="5" t="n"/>
    </row>
    <row r="40">
      <c r="A40" s="5" t="n"/>
      <c r="B40" s="13">
        <f>IF(A40="","",IFERROR(IF(INDEX(Viajeros!$C$5:$C$11,MATCH(A40,Viajeros!$B$5:$B$11,0))="","",INDEX(Viajeros!$C$5:$C$11,MATCH(A40,Viajeros!$B$5:$B$11,0))),""))</f>
        <v/>
      </c>
      <c r="C40" s="14">
        <f>IF(A40="","",IFERROR(INDEX(Viajeros!$D$5:$D$11,MATCH(A40,Viajeros!$B$5:$B$11,0))&amp;"",""))</f>
        <v/>
      </c>
      <c r="D40" s="13">
        <f>IF(A40="","",IFERROR(IF(INDEX(Viajeros!$E$5:$E$11,MATCH(A40,Viajeros!$B$5:$B$11,0))="","",INDEX(Viajeros!$E$5:$E$11,MATCH(A40,Viajeros!$B$5:$B$11,0))),""))</f>
        <v/>
      </c>
      <c r="E40" s="6" t="n"/>
      <c r="F40" s="6" t="n"/>
      <c r="G40" s="16">
        <f>IF(AND(ISNUMBER(E40),ISNUMBER(F40)),F40-E40,"")</f>
        <v/>
      </c>
      <c r="H40" s="5" t="n"/>
      <c r="I40" s="5" t="n"/>
      <c r="J40" s="5" t="n"/>
    </row>
    <row r="41">
      <c r="A41" s="5" t="n"/>
      <c r="B41" s="13">
        <f>IF(A41="","",IFERROR(IF(INDEX(Viajeros!$C$5:$C$11,MATCH(A41,Viajeros!$B$5:$B$11,0))="","",INDEX(Viajeros!$C$5:$C$11,MATCH(A41,Viajeros!$B$5:$B$11,0))),""))</f>
        <v/>
      </c>
      <c r="C41" s="14">
        <f>IF(A41="","",IFERROR(INDEX(Viajeros!$D$5:$D$11,MATCH(A41,Viajeros!$B$5:$B$11,0))&amp;"",""))</f>
        <v/>
      </c>
      <c r="D41" s="13">
        <f>IF(A41="","",IFERROR(IF(INDEX(Viajeros!$E$5:$E$11,MATCH(A41,Viajeros!$B$5:$B$11,0))="","",INDEX(Viajeros!$E$5:$E$11,MATCH(A41,Viajeros!$B$5:$B$11,0))),""))</f>
        <v/>
      </c>
      <c r="E41" s="6" t="n"/>
      <c r="F41" s="6" t="n"/>
      <c r="G41" s="16">
        <f>IF(AND(ISNUMBER(E41),ISNUMBER(F41)),F41-E41,"")</f>
        <v/>
      </c>
      <c r="H41" s="5" t="n"/>
      <c r="I41" s="5" t="n"/>
      <c r="J41" s="5" t="n"/>
    </row>
    <row r="42">
      <c r="A42" s="5" t="n"/>
      <c r="B42" s="13">
        <f>IF(A42="","",IFERROR(IF(INDEX(Viajeros!$C$5:$C$11,MATCH(A42,Viajeros!$B$5:$B$11,0))="","",INDEX(Viajeros!$C$5:$C$11,MATCH(A42,Viajeros!$B$5:$B$11,0))),""))</f>
        <v/>
      </c>
      <c r="C42" s="14">
        <f>IF(A42="","",IFERROR(INDEX(Viajeros!$D$5:$D$11,MATCH(A42,Viajeros!$B$5:$B$11,0))&amp;"",""))</f>
        <v/>
      </c>
      <c r="D42" s="13">
        <f>IF(A42="","",IFERROR(IF(INDEX(Viajeros!$E$5:$E$11,MATCH(A42,Viajeros!$B$5:$B$11,0))="","",INDEX(Viajeros!$E$5:$E$11,MATCH(A42,Viajeros!$B$5:$B$11,0))),""))</f>
        <v/>
      </c>
      <c r="E42" s="6" t="n"/>
      <c r="F42" s="6" t="n"/>
      <c r="G42" s="16">
        <f>IF(AND(ISNUMBER(E42),ISNUMBER(F42)),F42-E42,"")</f>
        <v/>
      </c>
      <c r="H42" s="5" t="n"/>
      <c r="I42" s="5" t="n"/>
      <c r="J42" s="5" t="n"/>
    </row>
    <row r="43">
      <c r="A43" s="5" t="n"/>
      <c r="B43" s="13">
        <f>IF(A43="","",IFERROR(IF(INDEX(Viajeros!$C$5:$C$11,MATCH(A43,Viajeros!$B$5:$B$11,0))="","",INDEX(Viajeros!$C$5:$C$11,MATCH(A43,Viajeros!$B$5:$B$11,0))),""))</f>
        <v/>
      </c>
      <c r="C43" s="14">
        <f>IF(A43="","",IFERROR(INDEX(Viajeros!$D$5:$D$11,MATCH(A43,Viajeros!$B$5:$B$11,0))&amp;"",""))</f>
        <v/>
      </c>
      <c r="D43" s="13">
        <f>IF(A43="","",IFERROR(IF(INDEX(Viajeros!$E$5:$E$11,MATCH(A43,Viajeros!$B$5:$B$11,0))="","",INDEX(Viajeros!$E$5:$E$11,MATCH(A43,Viajeros!$B$5:$B$11,0))),""))</f>
        <v/>
      </c>
      <c r="E43" s="6" t="n"/>
      <c r="F43" s="6" t="n"/>
      <c r="G43" s="16">
        <f>IF(AND(ISNUMBER(E43),ISNUMBER(F43)),F43-E43,"")</f>
        <v/>
      </c>
      <c r="H43" s="5" t="n"/>
      <c r="I43" s="5" t="n"/>
      <c r="J43" s="5" t="n"/>
    </row>
    <row r="44">
      <c r="A44" s="5" t="n"/>
      <c r="B44" s="13">
        <f>IF(A44="","",IFERROR(IF(INDEX(Viajeros!$C$5:$C$11,MATCH(A44,Viajeros!$B$5:$B$11,0))="","",INDEX(Viajeros!$C$5:$C$11,MATCH(A44,Viajeros!$B$5:$B$11,0))),""))</f>
        <v/>
      </c>
      <c r="C44" s="14">
        <f>IF(A44="","",IFERROR(INDEX(Viajeros!$D$5:$D$11,MATCH(A44,Viajeros!$B$5:$B$11,0))&amp;"",""))</f>
        <v/>
      </c>
      <c r="D44" s="13">
        <f>IF(A44="","",IFERROR(IF(INDEX(Viajeros!$E$5:$E$11,MATCH(A44,Viajeros!$B$5:$B$11,0))="","",INDEX(Viajeros!$E$5:$E$11,MATCH(A44,Viajeros!$B$5:$B$11,0))),""))</f>
        <v/>
      </c>
      <c r="E44" s="6" t="n"/>
      <c r="F44" s="6" t="n"/>
      <c r="G44" s="16">
        <f>IF(AND(ISNUMBER(E44),ISNUMBER(F44)),F44-E44,"")</f>
        <v/>
      </c>
      <c r="H44" s="5" t="n"/>
      <c r="I44" s="5" t="n"/>
      <c r="J44" s="5" t="n"/>
    </row>
    <row r="45">
      <c r="A45" s="5" t="n"/>
      <c r="B45" s="13">
        <f>IF(A45="","",IFERROR(IF(INDEX(Viajeros!$C$5:$C$11,MATCH(A45,Viajeros!$B$5:$B$11,0))="","",INDEX(Viajeros!$C$5:$C$11,MATCH(A45,Viajeros!$B$5:$B$11,0))),""))</f>
        <v/>
      </c>
      <c r="C45" s="14">
        <f>IF(A45="","",IFERROR(INDEX(Viajeros!$D$5:$D$11,MATCH(A45,Viajeros!$B$5:$B$11,0))&amp;"",""))</f>
        <v/>
      </c>
      <c r="D45" s="13">
        <f>IF(A45="","",IFERROR(IF(INDEX(Viajeros!$E$5:$E$11,MATCH(A45,Viajeros!$B$5:$B$11,0))="","",INDEX(Viajeros!$E$5:$E$11,MATCH(A45,Viajeros!$B$5:$B$11,0))),""))</f>
        <v/>
      </c>
      <c r="E45" s="6" t="n"/>
      <c r="F45" s="6" t="n"/>
      <c r="G45" s="16">
        <f>IF(AND(ISNUMBER(E45),ISNUMBER(F45)),F45-E45,"")</f>
        <v/>
      </c>
      <c r="H45" s="5" t="n"/>
      <c r="I45" s="5" t="n"/>
      <c r="J45" s="5" t="n"/>
    </row>
    <row r="46">
      <c r="A46" s="5" t="n"/>
      <c r="B46" s="13">
        <f>IF(A46="","",IFERROR(IF(INDEX(Viajeros!$C$5:$C$11,MATCH(A46,Viajeros!$B$5:$B$11,0))="","",INDEX(Viajeros!$C$5:$C$11,MATCH(A46,Viajeros!$B$5:$B$11,0))),""))</f>
        <v/>
      </c>
      <c r="C46" s="14">
        <f>IF(A46="","",IFERROR(INDEX(Viajeros!$D$5:$D$11,MATCH(A46,Viajeros!$B$5:$B$11,0))&amp;"",""))</f>
        <v/>
      </c>
      <c r="D46" s="13">
        <f>IF(A46="","",IFERROR(IF(INDEX(Viajeros!$E$5:$E$11,MATCH(A46,Viajeros!$B$5:$B$11,0))="","",INDEX(Viajeros!$E$5:$E$11,MATCH(A46,Viajeros!$B$5:$B$11,0))),""))</f>
        <v/>
      </c>
      <c r="E46" s="6" t="n"/>
      <c r="F46" s="6" t="n"/>
      <c r="G46" s="16">
        <f>IF(AND(ISNUMBER(E46),ISNUMBER(F46)),F46-E46,"")</f>
        <v/>
      </c>
      <c r="H46" s="5" t="n"/>
      <c r="I46" s="5" t="n"/>
      <c r="J46" s="5" t="n"/>
    </row>
    <row r="47">
      <c r="A47" s="5" t="n"/>
      <c r="B47" s="13">
        <f>IF(A47="","",IFERROR(IF(INDEX(Viajeros!$C$5:$C$11,MATCH(A47,Viajeros!$B$5:$B$11,0))="","",INDEX(Viajeros!$C$5:$C$11,MATCH(A47,Viajeros!$B$5:$B$11,0))),""))</f>
        <v/>
      </c>
      <c r="C47" s="14">
        <f>IF(A47="","",IFERROR(INDEX(Viajeros!$D$5:$D$11,MATCH(A47,Viajeros!$B$5:$B$11,0))&amp;"",""))</f>
        <v/>
      </c>
      <c r="D47" s="13">
        <f>IF(A47="","",IFERROR(IF(INDEX(Viajeros!$E$5:$E$11,MATCH(A47,Viajeros!$B$5:$B$11,0))="","",INDEX(Viajeros!$E$5:$E$11,MATCH(A47,Viajeros!$B$5:$B$11,0))),""))</f>
        <v/>
      </c>
      <c r="E47" s="6" t="n"/>
      <c r="F47" s="6" t="n"/>
      <c r="G47" s="16">
        <f>IF(AND(ISNUMBER(E47),ISNUMBER(F47)),F47-E47,"")</f>
        <v/>
      </c>
      <c r="H47" s="5" t="n"/>
      <c r="I47" s="5" t="n"/>
      <c r="J47" s="5" t="n"/>
    </row>
    <row r="48">
      <c r="A48" s="5" t="n"/>
      <c r="B48" s="13">
        <f>IF(A48="","",IFERROR(IF(INDEX(Viajeros!$C$5:$C$11,MATCH(A48,Viajeros!$B$5:$B$11,0))="","",INDEX(Viajeros!$C$5:$C$11,MATCH(A48,Viajeros!$B$5:$B$11,0))),""))</f>
        <v/>
      </c>
      <c r="C48" s="14">
        <f>IF(A48="","",IFERROR(INDEX(Viajeros!$D$5:$D$11,MATCH(A48,Viajeros!$B$5:$B$11,0))&amp;"",""))</f>
        <v/>
      </c>
      <c r="D48" s="13">
        <f>IF(A48="","",IFERROR(IF(INDEX(Viajeros!$E$5:$E$11,MATCH(A48,Viajeros!$B$5:$B$11,0))="","",INDEX(Viajeros!$E$5:$E$11,MATCH(A48,Viajeros!$B$5:$B$11,0))),""))</f>
        <v/>
      </c>
      <c r="E48" s="6" t="n"/>
      <c r="F48" s="6" t="n"/>
      <c r="G48" s="16">
        <f>IF(AND(ISNUMBER(E48),ISNUMBER(F48)),F48-E48,"")</f>
        <v/>
      </c>
      <c r="H48" s="5" t="n"/>
      <c r="I48" s="5" t="n"/>
      <c r="J48" s="5" t="n"/>
    </row>
    <row r="49">
      <c r="A49" s="5" t="n"/>
      <c r="B49" s="13">
        <f>IF(A49="","",IFERROR(IF(INDEX(Viajeros!$C$5:$C$11,MATCH(A49,Viajeros!$B$5:$B$11,0))="","",INDEX(Viajeros!$C$5:$C$11,MATCH(A49,Viajeros!$B$5:$B$11,0))),""))</f>
        <v/>
      </c>
      <c r="C49" s="14">
        <f>IF(A49="","",IFERROR(INDEX(Viajeros!$D$5:$D$11,MATCH(A49,Viajeros!$B$5:$B$11,0))&amp;"",""))</f>
        <v/>
      </c>
      <c r="D49" s="13">
        <f>IF(A49="","",IFERROR(IF(INDEX(Viajeros!$E$5:$E$11,MATCH(A49,Viajeros!$B$5:$B$11,0))="","",INDEX(Viajeros!$E$5:$E$11,MATCH(A49,Viajeros!$B$5:$B$11,0))),""))</f>
        <v/>
      </c>
      <c r="E49" s="6" t="n"/>
      <c r="F49" s="6" t="n"/>
      <c r="G49" s="16">
        <f>IF(AND(ISNUMBER(E49),ISNUMBER(F49)),F49-E49,"")</f>
        <v/>
      </c>
      <c r="H49" s="5" t="n"/>
      <c r="I49" s="5" t="n"/>
      <c r="J49" s="5" t="n"/>
    </row>
    <row r="50">
      <c r="A50" s="5" t="n"/>
      <c r="B50" s="13">
        <f>IF(A50="","",IFERROR(IF(INDEX(Viajeros!$C$5:$C$11,MATCH(A50,Viajeros!$B$5:$B$11,0))="","",INDEX(Viajeros!$C$5:$C$11,MATCH(A50,Viajeros!$B$5:$B$11,0))),""))</f>
        <v/>
      </c>
      <c r="C50" s="14">
        <f>IF(A50="","",IFERROR(INDEX(Viajeros!$D$5:$D$11,MATCH(A50,Viajeros!$B$5:$B$11,0))&amp;"",""))</f>
        <v/>
      </c>
      <c r="D50" s="13">
        <f>IF(A50="","",IFERROR(IF(INDEX(Viajeros!$E$5:$E$11,MATCH(A50,Viajeros!$B$5:$B$11,0))="","",INDEX(Viajeros!$E$5:$E$11,MATCH(A50,Viajeros!$B$5:$B$11,0))),""))</f>
        <v/>
      </c>
      <c r="E50" s="6" t="n"/>
      <c r="F50" s="6" t="n"/>
      <c r="G50" s="16">
        <f>IF(AND(ISNUMBER(E50),ISNUMBER(F50)),F50-E50,"")</f>
        <v/>
      </c>
      <c r="H50" s="5" t="n"/>
      <c r="I50" s="5" t="n"/>
      <c r="J50" s="5" t="n"/>
    </row>
    <row r="51">
      <c r="A51" s="5" t="n"/>
      <c r="B51" s="13">
        <f>IF(A51="","",IFERROR(IF(INDEX(Viajeros!$C$5:$C$11,MATCH(A51,Viajeros!$B$5:$B$11,0))="","",INDEX(Viajeros!$C$5:$C$11,MATCH(A51,Viajeros!$B$5:$B$11,0))),""))</f>
        <v/>
      </c>
      <c r="C51" s="14">
        <f>IF(A51="","",IFERROR(INDEX(Viajeros!$D$5:$D$11,MATCH(A51,Viajeros!$B$5:$B$11,0))&amp;"",""))</f>
        <v/>
      </c>
      <c r="D51" s="13">
        <f>IF(A51="","",IFERROR(IF(INDEX(Viajeros!$E$5:$E$11,MATCH(A51,Viajeros!$B$5:$B$11,0))="","",INDEX(Viajeros!$E$5:$E$11,MATCH(A51,Viajeros!$B$5:$B$11,0))),""))</f>
        <v/>
      </c>
      <c r="E51" s="6" t="n"/>
      <c r="F51" s="6" t="n"/>
      <c r="G51" s="16">
        <f>IF(AND(ISNUMBER(E51),ISNUMBER(F51)),F51-E51,"")</f>
        <v/>
      </c>
      <c r="H51" s="5" t="n"/>
      <c r="I51" s="5" t="n"/>
      <c r="J51" s="5" t="n"/>
    </row>
    <row r="52">
      <c r="A52" s="5" t="n"/>
      <c r="B52" s="13">
        <f>IF(A52="","",IFERROR(IF(INDEX(Viajeros!$C$5:$C$11,MATCH(A52,Viajeros!$B$5:$B$11,0))="","",INDEX(Viajeros!$C$5:$C$11,MATCH(A52,Viajeros!$B$5:$B$11,0))),""))</f>
        <v/>
      </c>
      <c r="C52" s="14">
        <f>IF(A52="","",IFERROR(INDEX(Viajeros!$D$5:$D$11,MATCH(A52,Viajeros!$B$5:$B$11,0))&amp;"",""))</f>
        <v/>
      </c>
      <c r="D52" s="13">
        <f>IF(A52="","",IFERROR(IF(INDEX(Viajeros!$E$5:$E$11,MATCH(A52,Viajeros!$B$5:$B$11,0))="","",INDEX(Viajeros!$E$5:$E$11,MATCH(A52,Viajeros!$B$5:$B$11,0))),""))</f>
        <v/>
      </c>
      <c r="E52" s="6" t="n"/>
      <c r="F52" s="6" t="n"/>
      <c r="G52" s="16">
        <f>IF(AND(ISNUMBER(E52),ISNUMBER(F52)),F52-E52,"")</f>
        <v/>
      </c>
      <c r="H52" s="5" t="n"/>
      <c r="I52" s="5" t="n"/>
      <c r="J52" s="5" t="n"/>
    </row>
    <row r="53">
      <c r="A53" s="5" t="n"/>
      <c r="B53" s="13">
        <f>IF(A53="","",IFERROR(IF(INDEX(Viajeros!$C$5:$C$11,MATCH(A53,Viajeros!$B$5:$B$11,0))="","",INDEX(Viajeros!$C$5:$C$11,MATCH(A53,Viajeros!$B$5:$B$11,0))),""))</f>
        <v/>
      </c>
      <c r="C53" s="14">
        <f>IF(A53="","",IFERROR(INDEX(Viajeros!$D$5:$D$11,MATCH(A53,Viajeros!$B$5:$B$11,0))&amp;"",""))</f>
        <v/>
      </c>
      <c r="D53" s="13">
        <f>IF(A53="","",IFERROR(IF(INDEX(Viajeros!$E$5:$E$11,MATCH(A53,Viajeros!$B$5:$B$11,0))="","",INDEX(Viajeros!$E$5:$E$11,MATCH(A53,Viajeros!$B$5:$B$11,0))),""))</f>
        <v/>
      </c>
      <c r="E53" s="6" t="n"/>
      <c r="F53" s="6" t="n"/>
      <c r="G53" s="16">
        <f>IF(AND(ISNUMBER(E53),ISNUMBER(F53)),F53-E53,"")</f>
        <v/>
      </c>
      <c r="H53" s="5" t="n"/>
      <c r="I53" s="5" t="n"/>
      <c r="J53" s="5" t="n"/>
    </row>
    <row r="54">
      <c r="A54" s="5" t="n"/>
      <c r="B54" s="13">
        <f>IF(A54="","",IFERROR(IF(INDEX(Viajeros!$C$5:$C$11,MATCH(A54,Viajeros!$B$5:$B$11,0))="","",INDEX(Viajeros!$C$5:$C$11,MATCH(A54,Viajeros!$B$5:$B$11,0))),""))</f>
        <v/>
      </c>
      <c r="C54" s="14">
        <f>IF(A54="","",IFERROR(INDEX(Viajeros!$D$5:$D$11,MATCH(A54,Viajeros!$B$5:$B$11,0))&amp;"",""))</f>
        <v/>
      </c>
      <c r="D54" s="13">
        <f>IF(A54="","",IFERROR(IF(INDEX(Viajeros!$E$5:$E$11,MATCH(A54,Viajeros!$B$5:$B$11,0))="","",INDEX(Viajeros!$E$5:$E$11,MATCH(A54,Viajeros!$B$5:$B$11,0))),""))</f>
        <v/>
      </c>
      <c r="E54" s="6" t="n"/>
      <c r="F54" s="6" t="n"/>
      <c r="G54" s="16">
        <f>IF(AND(ISNUMBER(E54),ISNUMBER(F54)),F54-E54,"")</f>
        <v/>
      </c>
      <c r="H54" s="5" t="n"/>
      <c r="I54" s="5" t="n"/>
      <c r="J54" s="5" t="n"/>
    </row>
    <row r="55">
      <c r="A55" s="5" t="n"/>
      <c r="B55" s="13">
        <f>IF(A55="","",IFERROR(IF(INDEX(Viajeros!$C$5:$C$11,MATCH(A55,Viajeros!$B$5:$B$11,0))="","",INDEX(Viajeros!$C$5:$C$11,MATCH(A55,Viajeros!$B$5:$B$11,0))),""))</f>
        <v/>
      </c>
      <c r="C55" s="14">
        <f>IF(A55="","",IFERROR(INDEX(Viajeros!$D$5:$D$11,MATCH(A55,Viajeros!$B$5:$B$11,0))&amp;"",""))</f>
        <v/>
      </c>
      <c r="D55" s="13">
        <f>IF(A55="","",IFERROR(IF(INDEX(Viajeros!$E$5:$E$11,MATCH(A55,Viajeros!$B$5:$B$11,0))="","",INDEX(Viajeros!$E$5:$E$11,MATCH(A55,Viajeros!$B$5:$B$11,0))),""))</f>
        <v/>
      </c>
      <c r="E55" s="6" t="n"/>
      <c r="F55" s="6" t="n"/>
      <c r="G55" s="16">
        <f>IF(AND(ISNUMBER(E55),ISNUMBER(F55)),F55-E55,"")</f>
        <v/>
      </c>
      <c r="H55" s="5" t="n"/>
      <c r="I55" s="5" t="n"/>
      <c r="J55" s="5" t="n"/>
    </row>
    <row r="56">
      <c r="A56" s="5" t="n"/>
      <c r="B56" s="13">
        <f>IF(A56="","",IFERROR(IF(INDEX(Viajeros!$C$5:$C$11,MATCH(A56,Viajeros!$B$5:$B$11,0))="","",INDEX(Viajeros!$C$5:$C$11,MATCH(A56,Viajeros!$B$5:$B$11,0))),""))</f>
        <v/>
      </c>
      <c r="C56" s="14">
        <f>IF(A56="","",IFERROR(INDEX(Viajeros!$D$5:$D$11,MATCH(A56,Viajeros!$B$5:$B$11,0))&amp;"",""))</f>
        <v/>
      </c>
      <c r="D56" s="13">
        <f>IF(A56="","",IFERROR(IF(INDEX(Viajeros!$E$5:$E$11,MATCH(A56,Viajeros!$B$5:$B$11,0))="","",INDEX(Viajeros!$E$5:$E$11,MATCH(A56,Viajeros!$B$5:$B$11,0))),""))</f>
        <v/>
      </c>
      <c r="E56" s="6" t="n"/>
      <c r="F56" s="6" t="n"/>
      <c r="G56" s="16">
        <f>IF(AND(ISNUMBER(E56),ISNUMBER(F56)),F56-E56,"")</f>
        <v/>
      </c>
      <c r="H56" s="5" t="n"/>
      <c r="I56" s="5" t="n"/>
      <c r="J56" s="5" t="n"/>
    </row>
    <row r="57">
      <c r="A57" s="5" t="n"/>
      <c r="B57" s="13">
        <f>IF(A57="","",IFERROR(IF(INDEX(Viajeros!$C$5:$C$11,MATCH(A57,Viajeros!$B$5:$B$11,0))="","",INDEX(Viajeros!$C$5:$C$11,MATCH(A57,Viajeros!$B$5:$B$11,0))),""))</f>
        <v/>
      </c>
      <c r="C57" s="14">
        <f>IF(A57="","",IFERROR(INDEX(Viajeros!$D$5:$D$11,MATCH(A57,Viajeros!$B$5:$B$11,0))&amp;"",""))</f>
        <v/>
      </c>
      <c r="D57" s="13">
        <f>IF(A57="","",IFERROR(IF(INDEX(Viajeros!$E$5:$E$11,MATCH(A57,Viajeros!$B$5:$B$11,0))="","",INDEX(Viajeros!$E$5:$E$11,MATCH(A57,Viajeros!$B$5:$B$11,0))),""))</f>
        <v/>
      </c>
      <c r="E57" s="6" t="n"/>
      <c r="F57" s="6" t="n"/>
      <c r="G57" s="16">
        <f>IF(AND(ISNUMBER(E57),ISNUMBER(F57)),F57-E57,"")</f>
        <v/>
      </c>
      <c r="H57" s="5" t="n"/>
      <c r="I57" s="5" t="n"/>
      <c r="J57" s="5" t="n"/>
    </row>
    <row r="58">
      <c r="A58" s="5" t="n"/>
      <c r="B58" s="13">
        <f>IF(A58="","",IFERROR(IF(INDEX(Viajeros!$C$5:$C$11,MATCH(A58,Viajeros!$B$5:$B$11,0))="","",INDEX(Viajeros!$C$5:$C$11,MATCH(A58,Viajeros!$B$5:$B$11,0))),""))</f>
        <v/>
      </c>
      <c r="C58" s="14">
        <f>IF(A58="","",IFERROR(INDEX(Viajeros!$D$5:$D$11,MATCH(A58,Viajeros!$B$5:$B$11,0))&amp;"",""))</f>
        <v/>
      </c>
      <c r="D58" s="13">
        <f>IF(A58="","",IFERROR(IF(INDEX(Viajeros!$E$5:$E$11,MATCH(A58,Viajeros!$B$5:$B$11,0))="","",INDEX(Viajeros!$E$5:$E$11,MATCH(A58,Viajeros!$B$5:$B$11,0))),""))</f>
        <v/>
      </c>
      <c r="E58" s="6" t="n"/>
      <c r="F58" s="6" t="n"/>
      <c r="G58" s="16">
        <f>IF(AND(ISNUMBER(E58),ISNUMBER(F58)),F58-E58,"")</f>
        <v/>
      </c>
      <c r="H58" s="5" t="n"/>
      <c r="I58" s="5" t="n"/>
      <c r="J58" s="5" t="n"/>
    </row>
    <row r="59">
      <c r="A59" s="5" t="n"/>
      <c r="B59" s="13">
        <f>IF(A59="","",IFERROR(IF(INDEX(Viajeros!$C$5:$C$11,MATCH(A59,Viajeros!$B$5:$B$11,0))="","",INDEX(Viajeros!$C$5:$C$11,MATCH(A59,Viajeros!$B$5:$B$11,0))),""))</f>
        <v/>
      </c>
      <c r="C59" s="14">
        <f>IF(A59="","",IFERROR(INDEX(Viajeros!$D$5:$D$11,MATCH(A59,Viajeros!$B$5:$B$11,0))&amp;"",""))</f>
        <v/>
      </c>
      <c r="D59" s="13">
        <f>IF(A59="","",IFERROR(IF(INDEX(Viajeros!$E$5:$E$11,MATCH(A59,Viajeros!$B$5:$B$11,0))="","",INDEX(Viajeros!$E$5:$E$11,MATCH(A59,Viajeros!$B$5:$B$11,0))),""))</f>
        <v/>
      </c>
      <c r="E59" s="6" t="n"/>
      <c r="F59" s="6" t="n"/>
      <c r="G59" s="16">
        <f>IF(AND(ISNUMBER(E59),ISNUMBER(F59)),F59-E59,"")</f>
        <v/>
      </c>
      <c r="H59" s="5" t="n"/>
      <c r="I59" s="5" t="n"/>
      <c r="J59" s="5" t="n"/>
    </row>
    <row r="60">
      <c r="A60" s="5" t="n"/>
      <c r="B60" s="13">
        <f>IF(A60="","",IFERROR(IF(INDEX(Viajeros!$C$5:$C$11,MATCH(A60,Viajeros!$B$5:$B$11,0))="","",INDEX(Viajeros!$C$5:$C$11,MATCH(A60,Viajeros!$B$5:$B$11,0))),""))</f>
        <v/>
      </c>
      <c r="C60" s="14">
        <f>IF(A60="","",IFERROR(INDEX(Viajeros!$D$5:$D$11,MATCH(A60,Viajeros!$B$5:$B$11,0))&amp;"",""))</f>
        <v/>
      </c>
      <c r="D60" s="13">
        <f>IF(A60="","",IFERROR(IF(INDEX(Viajeros!$E$5:$E$11,MATCH(A60,Viajeros!$B$5:$B$11,0))="","",INDEX(Viajeros!$E$5:$E$11,MATCH(A60,Viajeros!$B$5:$B$11,0))),""))</f>
        <v/>
      </c>
      <c r="E60" s="6" t="n"/>
      <c r="F60" s="6" t="n"/>
      <c r="G60" s="16">
        <f>IF(AND(ISNUMBER(E60),ISNUMBER(F60)),F60-E60,"")</f>
        <v/>
      </c>
      <c r="H60" s="5" t="n"/>
      <c r="I60" s="5" t="n"/>
      <c r="J60" s="5" t="n"/>
    </row>
    <row r="61">
      <c r="A61" s="5" t="n"/>
      <c r="B61" s="13">
        <f>IF(A61="","",IFERROR(IF(INDEX(Viajeros!$C$5:$C$11,MATCH(A61,Viajeros!$B$5:$B$11,0))="","",INDEX(Viajeros!$C$5:$C$11,MATCH(A61,Viajeros!$B$5:$B$11,0))),""))</f>
        <v/>
      </c>
      <c r="C61" s="14">
        <f>IF(A61="","",IFERROR(INDEX(Viajeros!$D$5:$D$11,MATCH(A61,Viajeros!$B$5:$B$11,0))&amp;"",""))</f>
        <v/>
      </c>
      <c r="D61" s="13">
        <f>IF(A61="","",IFERROR(IF(INDEX(Viajeros!$E$5:$E$11,MATCH(A61,Viajeros!$B$5:$B$11,0))="","",INDEX(Viajeros!$E$5:$E$11,MATCH(A61,Viajeros!$B$5:$B$11,0))),""))</f>
        <v/>
      </c>
      <c r="E61" s="6" t="n"/>
      <c r="F61" s="6" t="n"/>
      <c r="G61" s="16">
        <f>IF(AND(ISNUMBER(E61),ISNUMBER(F61)),F61-E61,"")</f>
        <v/>
      </c>
      <c r="H61" s="5" t="n"/>
      <c r="I61" s="5" t="n"/>
      <c r="J61" s="5" t="n"/>
    </row>
    <row r="62">
      <c r="A62" s="5" t="n"/>
      <c r="B62" s="13">
        <f>IF(A62="","",IFERROR(IF(INDEX(Viajeros!$C$5:$C$11,MATCH(A62,Viajeros!$B$5:$B$11,0))="","",INDEX(Viajeros!$C$5:$C$11,MATCH(A62,Viajeros!$B$5:$B$11,0))),""))</f>
        <v/>
      </c>
      <c r="C62" s="14">
        <f>IF(A62="","",IFERROR(INDEX(Viajeros!$D$5:$D$11,MATCH(A62,Viajeros!$B$5:$B$11,0))&amp;"",""))</f>
        <v/>
      </c>
      <c r="D62" s="13">
        <f>IF(A62="","",IFERROR(IF(INDEX(Viajeros!$E$5:$E$11,MATCH(A62,Viajeros!$B$5:$B$11,0))="","",INDEX(Viajeros!$E$5:$E$11,MATCH(A62,Viajeros!$B$5:$B$11,0))),""))</f>
        <v/>
      </c>
      <c r="E62" s="6" t="n"/>
      <c r="F62" s="6" t="n"/>
      <c r="G62" s="16">
        <f>IF(AND(ISNUMBER(E62),ISNUMBER(F62)),F62-E62,"")</f>
        <v/>
      </c>
      <c r="H62" s="5" t="n"/>
      <c r="I62" s="5" t="n"/>
      <c r="J62" s="5" t="n"/>
    </row>
    <row r="63">
      <c r="A63" s="5" t="n"/>
      <c r="B63" s="13">
        <f>IF(A63="","",IFERROR(IF(INDEX(Viajeros!$C$5:$C$11,MATCH(A63,Viajeros!$B$5:$B$11,0))="","",INDEX(Viajeros!$C$5:$C$11,MATCH(A63,Viajeros!$B$5:$B$11,0))),""))</f>
        <v/>
      </c>
      <c r="C63" s="14">
        <f>IF(A63="","",IFERROR(INDEX(Viajeros!$D$5:$D$11,MATCH(A63,Viajeros!$B$5:$B$11,0))&amp;"",""))</f>
        <v/>
      </c>
      <c r="D63" s="13">
        <f>IF(A63="","",IFERROR(IF(INDEX(Viajeros!$E$5:$E$11,MATCH(A63,Viajeros!$B$5:$B$11,0))="","",INDEX(Viajeros!$E$5:$E$11,MATCH(A63,Viajeros!$B$5:$B$11,0))),""))</f>
        <v/>
      </c>
      <c r="E63" s="6" t="n"/>
      <c r="F63" s="6" t="n"/>
      <c r="G63" s="16">
        <f>IF(AND(ISNUMBER(E63),ISNUMBER(F63)),F63-E63,"")</f>
        <v/>
      </c>
      <c r="H63" s="5" t="n"/>
      <c r="I63" s="5" t="n"/>
      <c r="J63" s="5" t="n"/>
    </row>
    <row r="64">
      <c r="A64" s="5" t="n"/>
      <c r="B64" s="13">
        <f>IF(A64="","",IFERROR(IF(INDEX(Viajeros!$C$5:$C$11,MATCH(A64,Viajeros!$B$5:$B$11,0))="","",INDEX(Viajeros!$C$5:$C$11,MATCH(A64,Viajeros!$B$5:$B$11,0))),""))</f>
        <v/>
      </c>
      <c r="C64" s="14">
        <f>IF(A64="","",IFERROR(INDEX(Viajeros!$D$5:$D$11,MATCH(A64,Viajeros!$B$5:$B$11,0))&amp;"",""))</f>
        <v/>
      </c>
      <c r="D64" s="13">
        <f>IF(A64="","",IFERROR(IF(INDEX(Viajeros!$E$5:$E$11,MATCH(A64,Viajeros!$B$5:$B$11,0))="","",INDEX(Viajeros!$E$5:$E$11,MATCH(A64,Viajeros!$B$5:$B$11,0))),""))</f>
        <v/>
      </c>
      <c r="E64" s="6" t="n"/>
      <c r="F64" s="6" t="n"/>
      <c r="G64" s="16">
        <f>IF(AND(ISNUMBER(E64),ISNUMBER(F64)),F64-E64,"")</f>
        <v/>
      </c>
      <c r="H64" s="5" t="n"/>
      <c r="I64" s="5" t="n"/>
      <c r="J64" s="5" t="n"/>
    </row>
    <row r="65">
      <c r="A65" s="5" t="n"/>
      <c r="B65" s="13">
        <f>IF(A65="","",IFERROR(IF(INDEX(Viajeros!$C$5:$C$11,MATCH(A65,Viajeros!$B$5:$B$11,0))="","",INDEX(Viajeros!$C$5:$C$11,MATCH(A65,Viajeros!$B$5:$B$11,0))),""))</f>
        <v/>
      </c>
      <c r="C65" s="14">
        <f>IF(A65="","",IFERROR(INDEX(Viajeros!$D$5:$D$11,MATCH(A65,Viajeros!$B$5:$B$11,0))&amp;"",""))</f>
        <v/>
      </c>
      <c r="D65" s="13">
        <f>IF(A65="","",IFERROR(IF(INDEX(Viajeros!$E$5:$E$11,MATCH(A65,Viajeros!$B$5:$B$11,0))="","",INDEX(Viajeros!$E$5:$E$11,MATCH(A65,Viajeros!$B$5:$B$11,0))),""))</f>
        <v/>
      </c>
      <c r="E65" s="6" t="n"/>
      <c r="F65" s="6" t="n"/>
      <c r="G65" s="16">
        <f>IF(AND(ISNUMBER(E65),ISNUMBER(F65)),F65-E65,"")</f>
        <v/>
      </c>
      <c r="H65" s="5" t="n"/>
      <c r="I65" s="5" t="n"/>
      <c r="J65" s="5" t="n"/>
    </row>
    <row r="66">
      <c r="A66" s="5" t="n"/>
      <c r="B66" s="13">
        <f>IF(A66="","",IFERROR(IF(INDEX(Viajeros!$C$5:$C$11,MATCH(A66,Viajeros!$B$5:$B$11,0))="","",INDEX(Viajeros!$C$5:$C$11,MATCH(A66,Viajeros!$B$5:$B$11,0))),""))</f>
        <v/>
      </c>
      <c r="C66" s="14">
        <f>IF(A66="","",IFERROR(INDEX(Viajeros!$D$5:$D$11,MATCH(A66,Viajeros!$B$5:$B$11,0))&amp;"",""))</f>
        <v/>
      </c>
      <c r="D66" s="13">
        <f>IF(A66="","",IFERROR(IF(INDEX(Viajeros!$E$5:$E$11,MATCH(A66,Viajeros!$B$5:$B$11,0))="","",INDEX(Viajeros!$E$5:$E$11,MATCH(A66,Viajeros!$B$5:$B$11,0))),""))</f>
        <v/>
      </c>
      <c r="E66" s="6" t="n"/>
      <c r="F66" s="6" t="n"/>
      <c r="G66" s="16">
        <f>IF(AND(ISNUMBER(E66),ISNUMBER(F66)),F66-E66,"")</f>
        <v/>
      </c>
      <c r="H66" s="5" t="n"/>
      <c r="I66" s="5" t="n"/>
      <c r="J66" s="5" t="n"/>
    </row>
    <row r="67">
      <c r="A67" s="5" t="n"/>
      <c r="B67" s="13">
        <f>IF(A67="","",IFERROR(IF(INDEX(Viajeros!$C$5:$C$11,MATCH(A67,Viajeros!$B$5:$B$11,0))="","",INDEX(Viajeros!$C$5:$C$11,MATCH(A67,Viajeros!$B$5:$B$11,0))),""))</f>
        <v/>
      </c>
      <c r="C67" s="14">
        <f>IF(A67="","",IFERROR(INDEX(Viajeros!$D$5:$D$11,MATCH(A67,Viajeros!$B$5:$B$11,0))&amp;"",""))</f>
        <v/>
      </c>
      <c r="D67" s="13">
        <f>IF(A67="","",IFERROR(IF(INDEX(Viajeros!$E$5:$E$11,MATCH(A67,Viajeros!$B$5:$B$11,0))="","",INDEX(Viajeros!$E$5:$E$11,MATCH(A67,Viajeros!$B$5:$B$11,0))),""))</f>
        <v/>
      </c>
      <c r="E67" s="6" t="n"/>
      <c r="F67" s="6" t="n"/>
      <c r="G67" s="16">
        <f>IF(AND(ISNUMBER(E67),ISNUMBER(F67)),F67-E67,"")</f>
        <v/>
      </c>
      <c r="H67" s="5" t="n"/>
      <c r="I67" s="5" t="n"/>
      <c r="J67" s="5" t="n"/>
    </row>
    <row r="68">
      <c r="A68" s="5" t="n"/>
      <c r="B68" s="13">
        <f>IF(A68="","",IFERROR(IF(INDEX(Viajeros!$C$5:$C$11,MATCH(A68,Viajeros!$B$5:$B$11,0))="","",INDEX(Viajeros!$C$5:$C$11,MATCH(A68,Viajeros!$B$5:$B$11,0))),""))</f>
        <v/>
      </c>
      <c r="C68" s="14">
        <f>IF(A68="","",IFERROR(INDEX(Viajeros!$D$5:$D$11,MATCH(A68,Viajeros!$B$5:$B$11,0))&amp;"",""))</f>
        <v/>
      </c>
      <c r="D68" s="13">
        <f>IF(A68="","",IFERROR(IF(INDEX(Viajeros!$E$5:$E$11,MATCH(A68,Viajeros!$B$5:$B$11,0))="","",INDEX(Viajeros!$E$5:$E$11,MATCH(A68,Viajeros!$B$5:$B$11,0))),""))</f>
        <v/>
      </c>
      <c r="E68" s="6" t="n"/>
      <c r="F68" s="6" t="n"/>
      <c r="G68" s="16">
        <f>IF(AND(ISNUMBER(E68),ISNUMBER(F68)),F68-E68,"")</f>
        <v/>
      </c>
      <c r="H68" s="5" t="n"/>
      <c r="I68" s="5" t="n"/>
      <c r="J68" s="5" t="n"/>
    </row>
    <row r="69">
      <c r="A69" s="5" t="n"/>
      <c r="B69" s="13">
        <f>IF(A69="","",IFERROR(IF(INDEX(Viajeros!$C$5:$C$11,MATCH(A69,Viajeros!$B$5:$B$11,0))="","",INDEX(Viajeros!$C$5:$C$11,MATCH(A69,Viajeros!$B$5:$B$11,0))),""))</f>
        <v/>
      </c>
      <c r="C69" s="14">
        <f>IF(A69="","",IFERROR(INDEX(Viajeros!$D$5:$D$11,MATCH(A69,Viajeros!$B$5:$B$11,0))&amp;"",""))</f>
        <v/>
      </c>
      <c r="D69" s="13">
        <f>IF(A69="","",IFERROR(IF(INDEX(Viajeros!$E$5:$E$11,MATCH(A69,Viajeros!$B$5:$B$11,0))="","",INDEX(Viajeros!$E$5:$E$11,MATCH(A69,Viajeros!$B$5:$B$11,0))),""))</f>
        <v/>
      </c>
      <c r="E69" s="6" t="n"/>
      <c r="F69" s="6" t="n"/>
      <c r="G69" s="16">
        <f>IF(AND(ISNUMBER(E69),ISNUMBER(F69)),F69-E69,"")</f>
        <v/>
      </c>
      <c r="H69" s="5" t="n"/>
      <c r="I69" s="5" t="n"/>
      <c r="J69" s="5" t="n"/>
    </row>
    <row r="70">
      <c r="A70" s="5" t="n"/>
      <c r="B70" s="13">
        <f>IF(A70="","",IFERROR(IF(INDEX(Viajeros!$C$5:$C$11,MATCH(A70,Viajeros!$B$5:$B$11,0))="","",INDEX(Viajeros!$C$5:$C$11,MATCH(A70,Viajeros!$B$5:$B$11,0))),""))</f>
        <v/>
      </c>
      <c r="C70" s="14">
        <f>IF(A70="","",IFERROR(INDEX(Viajeros!$D$5:$D$11,MATCH(A70,Viajeros!$B$5:$B$11,0))&amp;"",""))</f>
        <v/>
      </c>
      <c r="D70" s="13">
        <f>IF(A70="","",IFERROR(IF(INDEX(Viajeros!$E$5:$E$11,MATCH(A70,Viajeros!$B$5:$B$11,0))="","",INDEX(Viajeros!$E$5:$E$11,MATCH(A70,Viajeros!$B$5:$B$11,0))),""))</f>
        <v/>
      </c>
      <c r="E70" s="6" t="n"/>
      <c r="F70" s="6" t="n"/>
      <c r="G70" s="16">
        <f>IF(AND(ISNUMBER(E70),ISNUMBER(F70)),F70-E70,"")</f>
        <v/>
      </c>
      <c r="H70" s="5" t="n"/>
      <c r="I70" s="5" t="n"/>
      <c r="J70" s="5" t="n"/>
    </row>
    <row r="71">
      <c r="A71" s="5" t="n"/>
      <c r="B71" s="13">
        <f>IF(A71="","",IFERROR(IF(INDEX(Viajeros!$C$5:$C$11,MATCH(A71,Viajeros!$B$5:$B$11,0))="","",INDEX(Viajeros!$C$5:$C$11,MATCH(A71,Viajeros!$B$5:$B$11,0))),""))</f>
        <v/>
      </c>
      <c r="C71" s="14">
        <f>IF(A71="","",IFERROR(INDEX(Viajeros!$D$5:$D$11,MATCH(A71,Viajeros!$B$5:$B$11,0))&amp;"",""))</f>
        <v/>
      </c>
      <c r="D71" s="13">
        <f>IF(A71="","",IFERROR(IF(INDEX(Viajeros!$E$5:$E$11,MATCH(A71,Viajeros!$B$5:$B$11,0))="","",INDEX(Viajeros!$E$5:$E$11,MATCH(A71,Viajeros!$B$5:$B$11,0))),""))</f>
        <v/>
      </c>
      <c r="E71" s="6" t="n"/>
      <c r="F71" s="6" t="n"/>
      <c r="G71" s="16">
        <f>IF(AND(ISNUMBER(E71),ISNUMBER(F71)),F71-E71,"")</f>
        <v/>
      </c>
      <c r="H71" s="5" t="n"/>
      <c r="I71" s="5" t="n"/>
      <c r="J71" s="5" t="n"/>
    </row>
    <row r="72">
      <c r="A72" s="5" t="n"/>
      <c r="B72" s="13">
        <f>IF(A72="","",IFERROR(IF(INDEX(Viajeros!$C$5:$C$11,MATCH(A72,Viajeros!$B$5:$B$11,0))="","",INDEX(Viajeros!$C$5:$C$11,MATCH(A72,Viajeros!$B$5:$B$11,0))),""))</f>
        <v/>
      </c>
      <c r="C72" s="14">
        <f>IF(A72="","",IFERROR(INDEX(Viajeros!$D$5:$D$11,MATCH(A72,Viajeros!$B$5:$B$11,0))&amp;"",""))</f>
        <v/>
      </c>
      <c r="D72" s="13">
        <f>IF(A72="","",IFERROR(IF(INDEX(Viajeros!$E$5:$E$11,MATCH(A72,Viajeros!$B$5:$B$11,0))="","",INDEX(Viajeros!$E$5:$E$11,MATCH(A72,Viajeros!$B$5:$B$11,0))),""))</f>
        <v/>
      </c>
      <c r="E72" s="6" t="n"/>
      <c r="F72" s="6" t="n"/>
      <c r="G72" s="16">
        <f>IF(AND(ISNUMBER(E72),ISNUMBER(F72)),F72-E72,"")</f>
        <v/>
      </c>
      <c r="H72" s="5" t="n"/>
      <c r="I72" s="5" t="n"/>
      <c r="J72" s="5" t="n"/>
    </row>
    <row r="73">
      <c r="A73" s="5" t="n"/>
      <c r="B73" s="13">
        <f>IF(A73="","",IFERROR(IF(INDEX(Viajeros!$C$5:$C$11,MATCH(A73,Viajeros!$B$5:$B$11,0))="","",INDEX(Viajeros!$C$5:$C$11,MATCH(A73,Viajeros!$B$5:$B$11,0))),""))</f>
        <v/>
      </c>
      <c r="C73" s="14">
        <f>IF(A73="","",IFERROR(INDEX(Viajeros!$D$5:$D$11,MATCH(A73,Viajeros!$B$5:$B$11,0))&amp;"",""))</f>
        <v/>
      </c>
      <c r="D73" s="13">
        <f>IF(A73="","",IFERROR(IF(INDEX(Viajeros!$E$5:$E$11,MATCH(A73,Viajeros!$B$5:$B$11,0))="","",INDEX(Viajeros!$E$5:$E$11,MATCH(A73,Viajeros!$B$5:$B$11,0))),""))</f>
        <v/>
      </c>
      <c r="E73" s="6" t="n"/>
      <c r="F73" s="6" t="n"/>
      <c r="G73" s="16">
        <f>IF(AND(ISNUMBER(E73),ISNUMBER(F73)),F73-E73,"")</f>
        <v/>
      </c>
      <c r="H73" s="5" t="n"/>
      <c r="I73" s="5" t="n"/>
      <c r="J73" s="5" t="n"/>
    </row>
    <row r="74">
      <c r="A74" s="5" t="n"/>
      <c r="B74" s="13">
        <f>IF(A74="","",IFERROR(IF(INDEX(Viajeros!$C$5:$C$11,MATCH(A74,Viajeros!$B$5:$B$11,0))="","",INDEX(Viajeros!$C$5:$C$11,MATCH(A74,Viajeros!$B$5:$B$11,0))),""))</f>
        <v/>
      </c>
      <c r="C74" s="14">
        <f>IF(A74="","",IFERROR(INDEX(Viajeros!$D$5:$D$11,MATCH(A74,Viajeros!$B$5:$B$11,0))&amp;"",""))</f>
        <v/>
      </c>
      <c r="D74" s="13">
        <f>IF(A74="","",IFERROR(IF(INDEX(Viajeros!$E$5:$E$11,MATCH(A74,Viajeros!$B$5:$B$11,0))="","",INDEX(Viajeros!$E$5:$E$11,MATCH(A74,Viajeros!$B$5:$B$11,0))),""))</f>
        <v/>
      </c>
      <c r="E74" s="6" t="n"/>
      <c r="F74" s="6" t="n"/>
      <c r="G74" s="16">
        <f>IF(AND(ISNUMBER(E74),ISNUMBER(F74)),F74-E74,"")</f>
        <v/>
      </c>
      <c r="H74" s="5" t="n"/>
      <c r="I74" s="5" t="n"/>
      <c r="J74" s="5" t="n"/>
    </row>
    <row r="75">
      <c r="A75" s="5" t="n"/>
      <c r="B75" s="13">
        <f>IF(A75="","",IFERROR(IF(INDEX(Viajeros!$C$5:$C$11,MATCH(A75,Viajeros!$B$5:$B$11,0))="","",INDEX(Viajeros!$C$5:$C$11,MATCH(A75,Viajeros!$B$5:$B$11,0))),""))</f>
        <v/>
      </c>
      <c r="C75" s="14">
        <f>IF(A75="","",IFERROR(INDEX(Viajeros!$D$5:$D$11,MATCH(A75,Viajeros!$B$5:$B$11,0))&amp;"",""))</f>
        <v/>
      </c>
      <c r="D75" s="13">
        <f>IF(A75="","",IFERROR(IF(INDEX(Viajeros!$E$5:$E$11,MATCH(A75,Viajeros!$B$5:$B$11,0))="","",INDEX(Viajeros!$E$5:$E$11,MATCH(A75,Viajeros!$B$5:$B$11,0))),""))</f>
        <v/>
      </c>
      <c r="E75" s="6" t="n"/>
      <c r="F75" s="6" t="n"/>
      <c r="G75" s="16">
        <f>IF(AND(ISNUMBER(E75),ISNUMBER(F75)),F75-E75,"")</f>
        <v/>
      </c>
      <c r="H75" s="5" t="n"/>
      <c r="I75" s="5" t="n"/>
      <c r="J75" s="5" t="n"/>
    </row>
    <row r="76">
      <c r="A76" s="5" t="n"/>
      <c r="B76" s="13">
        <f>IF(A76="","",IFERROR(IF(INDEX(Viajeros!$C$5:$C$11,MATCH(A76,Viajeros!$B$5:$B$11,0))="","",INDEX(Viajeros!$C$5:$C$11,MATCH(A76,Viajeros!$B$5:$B$11,0))),""))</f>
        <v/>
      </c>
      <c r="C76" s="14">
        <f>IF(A76="","",IFERROR(INDEX(Viajeros!$D$5:$D$11,MATCH(A76,Viajeros!$B$5:$B$11,0))&amp;"",""))</f>
        <v/>
      </c>
      <c r="D76" s="13">
        <f>IF(A76="","",IFERROR(IF(INDEX(Viajeros!$E$5:$E$11,MATCH(A76,Viajeros!$B$5:$B$11,0))="","",INDEX(Viajeros!$E$5:$E$11,MATCH(A76,Viajeros!$B$5:$B$11,0))),""))</f>
        <v/>
      </c>
      <c r="E76" s="6" t="n"/>
      <c r="F76" s="6" t="n"/>
      <c r="G76" s="16">
        <f>IF(AND(ISNUMBER(E76),ISNUMBER(F76)),F76-E76,"")</f>
        <v/>
      </c>
      <c r="H76" s="5" t="n"/>
      <c r="I76" s="5" t="n"/>
      <c r="J76" s="5" t="n"/>
    </row>
    <row r="77">
      <c r="A77" s="5" t="n"/>
      <c r="B77" s="13">
        <f>IF(A77="","",IFERROR(IF(INDEX(Viajeros!$C$5:$C$11,MATCH(A77,Viajeros!$B$5:$B$11,0))="","",INDEX(Viajeros!$C$5:$C$11,MATCH(A77,Viajeros!$B$5:$B$11,0))),""))</f>
        <v/>
      </c>
      <c r="C77" s="14">
        <f>IF(A77="","",IFERROR(INDEX(Viajeros!$D$5:$D$11,MATCH(A77,Viajeros!$B$5:$B$11,0))&amp;"",""))</f>
        <v/>
      </c>
      <c r="D77" s="13">
        <f>IF(A77="","",IFERROR(IF(INDEX(Viajeros!$E$5:$E$11,MATCH(A77,Viajeros!$B$5:$B$11,0))="","",INDEX(Viajeros!$E$5:$E$11,MATCH(A77,Viajeros!$B$5:$B$11,0))),""))</f>
        <v/>
      </c>
      <c r="E77" s="6" t="n"/>
      <c r="F77" s="6" t="n"/>
      <c r="G77" s="16">
        <f>IF(AND(ISNUMBER(E77),ISNUMBER(F77)),F77-E77,"")</f>
        <v/>
      </c>
      <c r="H77" s="5" t="n"/>
      <c r="I77" s="5" t="n"/>
      <c r="J77" s="5" t="n"/>
    </row>
    <row r="78">
      <c r="A78" s="5" t="n"/>
      <c r="B78" s="13">
        <f>IF(A78="","",IFERROR(IF(INDEX(Viajeros!$C$5:$C$11,MATCH(A78,Viajeros!$B$5:$B$11,0))="","",INDEX(Viajeros!$C$5:$C$11,MATCH(A78,Viajeros!$B$5:$B$11,0))),""))</f>
        <v/>
      </c>
      <c r="C78" s="14">
        <f>IF(A78="","",IFERROR(INDEX(Viajeros!$D$5:$D$11,MATCH(A78,Viajeros!$B$5:$B$11,0))&amp;"",""))</f>
        <v/>
      </c>
      <c r="D78" s="13">
        <f>IF(A78="","",IFERROR(IF(INDEX(Viajeros!$E$5:$E$11,MATCH(A78,Viajeros!$B$5:$B$11,0))="","",INDEX(Viajeros!$E$5:$E$11,MATCH(A78,Viajeros!$B$5:$B$11,0))),""))</f>
        <v/>
      </c>
      <c r="E78" s="6" t="n"/>
      <c r="F78" s="6" t="n"/>
      <c r="G78" s="16">
        <f>IF(AND(ISNUMBER(E78),ISNUMBER(F78)),F78-E78,"")</f>
        <v/>
      </c>
      <c r="H78" s="5" t="n"/>
      <c r="I78" s="5" t="n"/>
      <c r="J78" s="5" t="n"/>
    </row>
    <row r="79">
      <c r="A79" s="5" t="n"/>
      <c r="B79" s="13">
        <f>IF(A79="","",IFERROR(IF(INDEX(Viajeros!$C$5:$C$11,MATCH(A79,Viajeros!$B$5:$B$11,0))="","",INDEX(Viajeros!$C$5:$C$11,MATCH(A79,Viajeros!$B$5:$B$11,0))),""))</f>
        <v/>
      </c>
      <c r="C79" s="14">
        <f>IF(A79="","",IFERROR(INDEX(Viajeros!$D$5:$D$11,MATCH(A79,Viajeros!$B$5:$B$11,0))&amp;"",""))</f>
        <v/>
      </c>
      <c r="D79" s="13">
        <f>IF(A79="","",IFERROR(IF(INDEX(Viajeros!$E$5:$E$11,MATCH(A79,Viajeros!$B$5:$B$11,0))="","",INDEX(Viajeros!$E$5:$E$11,MATCH(A79,Viajeros!$B$5:$B$11,0))),""))</f>
        <v/>
      </c>
      <c r="E79" s="6" t="n"/>
      <c r="F79" s="6" t="n"/>
      <c r="G79" s="16">
        <f>IF(AND(ISNUMBER(E79),ISNUMBER(F79)),F79-E79,"")</f>
        <v/>
      </c>
      <c r="H79" s="5" t="n"/>
      <c r="I79" s="5" t="n"/>
      <c r="J79" s="5" t="n"/>
    </row>
    <row r="80">
      <c r="A80" s="5" t="n"/>
      <c r="B80" s="13">
        <f>IF(A80="","",IFERROR(IF(INDEX(Viajeros!$C$5:$C$11,MATCH(A80,Viajeros!$B$5:$B$11,0))="","",INDEX(Viajeros!$C$5:$C$11,MATCH(A80,Viajeros!$B$5:$B$11,0))),""))</f>
        <v/>
      </c>
      <c r="C80" s="14">
        <f>IF(A80="","",IFERROR(INDEX(Viajeros!$D$5:$D$11,MATCH(A80,Viajeros!$B$5:$B$11,0))&amp;"",""))</f>
        <v/>
      </c>
      <c r="D80" s="13">
        <f>IF(A80="","",IFERROR(IF(INDEX(Viajeros!$E$5:$E$11,MATCH(A80,Viajeros!$B$5:$B$11,0))="","",INDEX(Viajeros!$E$5:$E$11,MATCH(A80,Viajeros!$B$5:$B$11,0))),""))</f>
        <v/>
      </c>
      <c r="E80" s="6" t="n"/>
      <c r="F80" s="6" t="n"/>
      <c r="G80" s="16">
        <f>IF(AND(ISNUMBER(E80),ISNUMBER(F80)),F80-E80,"")</f>
        <v/>
      </c>
      <c r="H80" s="5" t="n"/>
      <c r="I80" s="5" t="n"/>
      <c r="J80" s="5" t="n"/>
    </row>
    <row r="81">
      <c r="A81" s="5" t="n"/>
      <c r="B81" s="13">
        <f>IF(A81="","",IFERROR(IF(INDEX(Viajeros!$C$5:$C$11,MATCH(A81,Viajeros!$B$5:$B$11,0))="","",INDEX(Viajeros!$C$5:$C$11,MATCH(A81,Viajeros!$B$5:$B$11,0))),""))</f>
        <v/>
      </c>
      <c r="C81" s="14">
        <f>IF(A81="","",IFERROR(INDEX(Viajeros!$D$5:$D$11,MATCH(A81,Viajeros!$B$5:$B$11,0))&amp;"",""))</f>
        <v/>
      </c>
      <c r="D81" s="13">
        <f>IF(A81="","",IFERROR(IF(INDEX(Viajeros!$E$5:$E$11,MATCH(A81,Viajeros!$B$5:$B$11,0))="","",INDEX(Viajeros!$E$5:$E$11,MATCH(A81,Viajeros!$B$5:$B$11,0))),""))</f>
        <v/>
      </c>
      <c r="E81" s="6" t="n"/>
      <c r="F81" s="6" t="n"/>
      <c r="G81" s="16">
        <f>IF(AND(ISNUMBER(E81),ISNUMBER(F81)),F81-E81,"")</f>
        <v/>
      </c>
      <c r="H81" s="5" t="n"/>
      <c r="I81" s="5" t="n"/>
      <c r="J81" s="5" t="n"/>
    </row>
    <row r="82">
      <c r="A82" s="5" t="n"/>
      <c r="B82" s="13">
        <f>IF(A82="","",IFERROR(IF(INDEX(Viajeros!$C$5:$C$11,MATCH(A82,Viajeros!$B$5:$B$11,0))="","",INDEX(Viajeros!$C$5:$C$11,MATCH(A82,Viajeros!$B$5:$B$11,0))),""))</f>
        <v/>
      </c>
      <c r="C82" s="14">
        <f>IF(A82="","",IFERROR(INDEX(Viajeros!$D$5:$D$11,MATCH(A82,Viajeros!$B$5:$B$11,0))&amp;"",""))</f>
        <v/>
      </c>
      <c r="D82" s="13">
        <f>IF(A82="","",IFERROR(IF(INDEX(Viajeros!$E$5:$E$11,MATCH(A82,Viajeros!$B$5:$B$11,0))="","",INDEX(Viajeros!$E$5:$E$11,MATCH(A82,Viajeros!$B$5:$B$11,0))),""))</f>
        <v/>
      </c>
      <c r="E82" s="6" t="n"/>
      <c r="F82" s="6" t="n"/>
      <c r="G82" s="16">
        <f>IF(AND(ISNUMBER(E82),ISNUMBER(F82)),F82-E82,"")</f>
        <v/>
      </c>
      <c r="H82" s="5" t="n"/>
      <c r="I82" s="5" t="n"/>
      <c r="J82" s="5" t="n"/>
    </row>
    <row r="83">
      <c r="A83" s="5" t="n"/>
      <c r="B83" s="13">
        <f>IF(A83="","",IFERROR(IF(INDEX(Viajeros!$C$5:$C$11,MATCH(A83,Viajeros!$B$5:$B$11,0))="","",INDEX(Viajeros!$C$5:$C$11,MATCH(A83,Viajeros!$B$5:$B$11,0))),""))</f>
        <v/>
      </c>
      <c r="C83" s="14">
        <f>IF(A83="","",IFERROR(INDEX(Viajeros!$D$5:$D$11,MATCH(A83,Viajeros!$B$5:$B$11,0))&amp;"",""))</f>
        <v/>
      </c>
      <c r="D83" s="13">
        <f>IF(A83="","",IFERROR(IF(INDEX(Viajeros!$E$5:$E$11,MATCH(A83,Viajeros!$B$5:$B$11,0))="","",INDEX(Viajeros!$E$5:$E$11,MATCH(A83,Viajeros!$B$5:$B$11,0))),""))</f>
        <v/>
      </c>
      <c r="E83" s="6" t="n"/>
      <c r="F83" s="6" t="n"/>
      <c r="G83" s="16">
        <f>IF(AND(ISNUMBER(E83),ISNUMBER(F83)),F83-E83,"")</f>
        <v/>
      </c>
      <c r="H83" s="5" t="n"/>
      <c r="I83" s="5" t="n"/>
      <c r="J83" s="5" t="n"/>
    </row>
    <row r="84">
      <c r="A84" s="5" t="n"/>
      <c r="B84" s="13">
        <f>IF(A84="","",IFERROR(IF(INDEX(Viajeros!$C$5:$C$11,MATCH(A84,Viajeros!$B$5:$B$11,0))="","",INDEX(Viajeros!$C$5:$C$11,MATCH(A84,Viajeros!$B$5:$B$11,0))),""))</f>
        <v/>
      </c>
      <c r="C84" s="14">
        <f>IF(A84="","",IFERROR(INDEX(Viajeros!$D$5:$D$11,MATCH(A84,Viajeros!$B$5:$B$11,0))&amp;"",""))</f>
        <v/>
      </c>
      <c r="D84" s="13">
        <f>IF(A84="","",IFERROR(IF(INDEX(Viajeros!$E$5:$E$11,MATCH(A84,Viajeros!$B$5:$B$11,0))="","",INDEX(Viajeros!$E$5:$E$11,MATCH(A84,Viajeros!$B$5:$B$11,0))),""))</f>
        <v/>
      </c>
      <c r="E84" s="6" t="n"/>
      <c r="F84" s="6" t="n"/>
      <c r="G84" s="16">
        <f>IF(AND(ISNUMBER(E84),ISNUMBER(F84)),F84-E84,"")</f>
        <v/>
      </c>
      <c r="H84" s="5" t="n"/>
      <c r="I84" s="5" t="n"/>
      <c r="J84" s="5" t="n"/>
    </row>
  </sheetData>
  <autoFilter ref="A4:J84"/>
  <mergeCells count="1">
    <mergeCell ref="A2:J2"/>
  </mergeCells>
  <conditionalFormatting sqref="F5:F84">
    <cfRule type="expression" priority="1" dxfId="0">
      <formula>AND(ISNUMBER(E5),ISNUMBER(F5),F5&lt;=E5)</formula>
    </cfRule>
  </conditionalFormatting>
  <conditionalFormatting sqref="D5:D84">
    <cfRule type="expression" priority="2" dxfId="0">
      <formula>AND(ISNUMBER(D5),ISNUMBER(E5),D5&lt;EDATE(E5,6))</formula>
    </cfRule>
  </conditionalFormatting>
  <dataValidations count="2">
    <dataValidation sqref="A5:A84" showDropDown="0" showInputMessage="0" showErrorMessage="0" allowBlank="1" type="list">
      <formula1>Viajeros!$B$5:$B$11</formula1>
    </dataValidation>
    <dataValidation sqref="E5:F84" showDropDown="0" showInputMessage="0" showErrorMessage="1" allowBlank="0" error="Ingrese una fecha válida (DD/MM/AAAA).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2026-10-01T14:03:07Z</dcterms:created>
  <dcterms:modified xsi:type="dcterms:W3CDTF">2026-10-01T14:03:07Z</dcterms:modified>
</cp:coreProperties>
</file>