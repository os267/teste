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Comisiones - uso interno" sheetId="3" state="visible" r:id="rId3"/>
  </sheets>
  <definedNames>
    <definedName name="_xlnm._FilterDatabase" localSheetId="0" hidden="1">'Tabla Gral. - Visión Comercial'!$A$4:$I$10</definedName>
    <definedName name="_xlnm.Print_Titles" localSheetId="0">'Tabla Gral. - Visión Comercial'!$4:$4</definedName>
    <definedName name="_xlnm.Print_Area" localSheetId="1">'Ficha Técnica Consolidada'!$A$1:$F$135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2" fillId="6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3" fillId="4" borderId="1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vertical="top" wrapText="1"/>
    </xf>
    <xf numFmtId="9" fontId="6" fillId="5" borderId="2" applyAlignment="1" pivotButton="0" quotePrefix="0" xfId="0">
      <alignment vertical="top" wrapText="1"/>
    </xf>
    <xf numFmtId="164" fontId="6" fillId="5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9" fontId="6" fillId="6" borderId="2" applyAlignment="1" pivotButton="0" quotePrefix="0" xfId="0">
      <alignment vertical="top" wrapText="1"/>
    </xf>
    <xf numFmtId="164" fontId="6" fillId="6" borderId="2" applyAlignment="1" pivotButton="0" quotePrefix="0" xfId="0">
      <alignment vertical="top" wrapText="1"/>
    </xf>
    <xf numFmtId="0" fontId="10" fillId="3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22" customWidth="1" min="8" max="8"/>
    <col width="34" customWidth="1" min="9" max="9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Precio lanzamiento (−20%)</t>
        </is>
      </c>
      <c r="I4" s="3" t="inlineStr">
        <is>
          <t>Condiciones de Pago / Financiamiento</t>
        </is>
      </c>
    </row>
    <row r="5" ht="93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US$ 800 · 120 cuotas de aprox. US$ 6,80/mes
(descuento especial de lanzamiento)</t>
        </is>
      </c>
      <c r="I5" s="5" t="inlineStr">
        <is>
          <t>Hasta 120 cuotas mensuales con intereses (aprox. US$ 8,50/mes).
Debe estar pagado en su totalidad para el uso de la cremación y el columbario</t>
        </is>
      </c>
    </row>
    <row r="6" ht="107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F6" s="8" t="inlineStr">
        <is>
          <t>Familias que desean un lugar propio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US$ 480
(descuento especial de lanzamiento)</t>
        </is>
      </c>
      <c r="I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F7" s="5" t="inlineStr">
        <is>
          <t>Familias que buscan un espacio propio para varias generaciones.</t>
        </is>
      </c>
      <c r="G7" s="6" t="inlineStr">
        <is>
          <t>US$ 2.000
(Por parcela familiar · hasta 4 espacios · mantenimiento US$ 24/año)</t>
        </is>
      </c>
      <c r="H7" s="5" t="inlineStr">
        <is>
          <t>US$ 1.600
(descuento especial de lanzamiento)</t>
        </is>
      </c>
      <c r="I7" s="5" t="inlineStr">
        <is>
          <t>Pago único o financiado según política comercial vigente. Cuota de mantenimiento: US$ 24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US$ 600
(descuento especial de lanzamiento)</t>
        </is>
      </c>
      <c r="I8" s="8" t="inlineStr">
        <is>
          <t>Pago único o financiado según política comercial vigente. Incluye la placa memorial en el monumento al término del plazo.</t>
        </is>
      </c>
    </row>
    <row r="9" ht="107.5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(urna aparte) · US$ 550 con cremación y urna)</t>
        </is>
      </c>
      <c r="H9" s="5" t="inlineStr">
        <is>
          <t>US$ 320 / US$ 440
(descuento especial de lanzamiento)</t>
        </is>
      </c>
      <c r="I9" s="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</t>
        </is>
      </c>
      <c r="I10" s="11" t="inlineStr">
        <is>
          <t>A definir.</t>
        </is>
      </c>
    </row>
  </sheetData>
  <autoFilter ref="A4:I10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6.5" customHeight="1">
      <c r="B18" s="28" t="inlineStr">
        <is>
          <t>Precio lanzamiento (−20%)</t>
        </is>
      </c>
      <c r="C18" s="33" t="inlineStr">
        <is>
          <t>US$ 800 · 120 cuotas de aprox. US$ 6,80/mes</t>
        </is>
      </c>
      <c r="D18" s="30" t="n"/>
      <c r="E18" s="31" t="n"/>
    </row>
    <row r="19" ht="20.5" customHeight="1">
      <c r="B19" s="28" t="inlineStr">
        <is>
          <t>Base de precio</t>
        </is>
      </c>
      <c r="C19" s="29" t="inlineStr">
        <is>
          <t>Por módulo individual</t>
        </is>
      </c>
      <c r="D19" s="30" t="n"/>
      <c r="E19" s="31" t="n"/>
    </row>
    <row r="20" ht="35" customHeight="1">
      <c r="B20" s="24" t="inlineStr">
        <is>
          <t>Condiciones</t>
        </is>
      </c>
      <c r="C20" s="25" t="inlineStr">
        <is>
          <t>Hasta 120 cuotas mensuales con intereses (aprox. US$ 8,50/mes).
Debe estar pagado en su totalidad para el uso de la cremación y el columbario</t>
        </is>
      </c>
      <c r="D20" s="26" t="n"/>
      <c r="E20" s="27" t="n"/>
    </row>
    <row r="21" ht="20.5" customHeight="1">
      <c r="B21" s="28" t="inlineStr">
        <is>
          <t>Cuota referencial</t>
        </is>
      </c>
      <c r="C21" s="29" t="inlineStr">
        <is>
          <t>US$ 8,50/mes con intereses (120 cuotas)</t>
        </is>
      </c>
      <c r="D21" s="30" t="n"/>
      <c r="E21" s="31" t="n"/>
    </row>
    <row r="22" ht="20" customHeight="1">
      <c r="B22" s="21" t="inlineStr">
        <is>
          <t>PERFIL DEL COMPRADOR</t>
        </is>
      </c>
      <c r="C22" s="22" t="n"/>
      <c r="D22" s="22" t="n"/>
      <c r="E22" s="23" t="n"/>
    </row>
    <row r="23" ht="35" customHeight="1">
      <c r="B23" s="34" t="inlineStr">
        <is>
          <t>Cliente objetivo</t>
        </is>
      </c>
      <c r="C23" s="35" t="inlineStr">
        <is>
          <t>Afiliados actuales y nuevos que desean incorporar la cremación a su plan con una cuota mensual mínima.</t>
        </is>
      </c>
      <c r="D23" s="36" t="n"/>
      <c r="E23" s="37" t="n"/>
    </row>
    <row r="26" ht="30" customHeight="1">
      <c r="B26" s="15" t="inlineStr">
        <is>
          <t>JARDÍN DE CENIZAS · INDIVIDUAL</t>
        </is>
      </c>
      <c r="C26" s="16" t="n"/>
      <c r="D26" s="16" t="n"/>
      <c r="E26" s="17" t="n"/>
    </row>
    <row r="27" ht="20" customHeight="1">
      <c r="B27" s="18" t="inlineStr">
        <is>
          <t>Jardines de la Memoria · Jardín 1  ·  Destino final · Inhumación individual</t>
        </is>
      </c>
      <c r="C27" s="19" t="n"/>
      <c r="D27" s="19" t="n"/>
      <c r="E27" s="20" t="n"/>
    </row>
    <row r="28" ht="20" customHeight="1">
      <c r="B28" s="21" t="inlineStr">
        <is>
          <t>VISIÓN GENERAL</t>
        </is>
      </c>
      <c r="C28" s="22" t="n"/>
      <c r="D28" s="22" t="n"/>
      <c r="E28" s="23" t="n"/>
    </row>
    <row r="29" ht="49.5" customHeight="1">
      <c r="B29" s="24" t="inlineStr">
        <is>
          <t>Concepto</t>
        </is>
      </c>
      <c r="C29" s="25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29" s="26" t="n"/>
      <c r="E29" s="27" t="n"/>
    </row>
    <row r="30" ht="20.5" customHeight="1">
      <c r="B30" s="28" t="inlineStr">
        <is>
          <t>Capacidad / Cobertura</t>
        </is>
      </c>
      <c r="C30" s="29" t="inlineStr">
        <is>
          <t>Individual (1 urna).</t>
        </is>
      </c>
      <c r="D30" s="30" t="n"/>
      <c r="E30" s="31" t="n"/>
    </row>
    <row r="31" ht="20" customHeight="1">
      <c r="B31" s="21" t="inlineStr">
        <is>
          <t>ESPECIFICACIONES TÉCNICAS</t>
        </is>
      </c>
      <c r="C31" s="22" t="n"/>
      <c r="D31" s="22" t="n"/>
      <c r="E31" s="23" t="n"/>
    </row>
    <row r="32" ht="20.5" customHeight="1">
      <c r="B32" s="24" t="inlineStr">
        <is>
          <t>Ambiente</t>
        </is>
      </c>
      <c r="C32" s="25" t="inlineStr">
        <is>
          <t>Jardín 1</t>
        </is>
      </c>
      <c r="D32" s="26" t="n"/>
      <c r="E32" s="27" t="n"/>
    </row>
    <row r="33" ht="20.5" customHeight="1">
      <c r="B33" s="28" t="inlineStr">
        <is>
          <t>Contenedor</t>
        </is>
      </c>
      <c r="C33" s="29" t="inlineStr">
        <is>
          <t>Ø 32 cm × 40 cm de altura; enterrado dejando 20 cm a la vista</t>
        </is>
      </c>
      <c r="D33" s="30" t="n"/>
      <c r="E33" s="31" t="n"/>
    </row>
    <row r="34" ht="20.5" customHeight="1">
      <c r="B34" s="24" t="inlineStr">
        <is>
          <t>Identificación</t>
        </is>
      </c>
      <c r="C34" s="25" t="inlineStr">
        <is>
          <t>Tapa de granito con la información del difunto</t>
        </is>
      </c>
      <c r="D34" s="26" t="n"/>
      <c r="E34" s="27" t="n"/>
    </row>
    <row r="35" ht="20.5" customHeight="1">
      <c r="B35" s="28" t="inlineStr">
        <is>
          <t>Paisajismo</t>
        </is>
      </c>
      <c r="C35" s="29" t="inlineStr">
        <is>
          <t>Plantas de sombra de diferentes alturas y texturas</t>
        </is>
      </c>
      <c r="D35" s="30" t="n"/>
      <c r="E35" s="31" t="n"/>
    </row>
    <row r="36" ht="20.5" customHeight="1">
      <c r="B36" s="24" t="inlineStr">
        <is>
          <t>Acceso</t>
        </is>
      </c>
      <c r="C36" s="25" t="inlineStr">
        <is>
          <t>Camino de 1,2 m en gravilla con bordillo prefabricado</t>
        </is>
      </c>
      <c r="D36" s="26" t="n"/>
      <c r="E36" s="27" t="n"/>
    </row>
    <row r="37" ht="20.5" customHeight="1">
      <c r="B37" s="28" t="inlineStr">
        <is>
          <t>Permanencia</t>
        </is>
      </c>
      <c r="C37" s="29" t="inlineStr">
        <is>
          <t>30 años desde la primera inhumación, renovable por igual período</t>
        </is>
      </c>
      <c r="D37" s="30" t="n"/>
      <c r="E37" s="31" t="n"/>
    </row>
    <row r="38" ht="20.5" customHeight="1">
      <c r="B38" s="24" t="inlineStr">
        <is>
          <t>Mantenimiento</t>
        </is>
      </c>
      <c r="C38" s="25" t="inlineStr">
        <is>
          <t>US$ 15 anual</t>
        </is>
      </c>
      <c r="D38" s="26" t="n"/>
      <c r="E38" s="27" t="n"/>
    </row>
    <row r="39" ht="93" customHeight="1">
      <c r="B39" s="28" t="inlineStr">
        <is>
          <t>Servicios incluidos</t>
        </is>
      </c>
      <c r="C39" s="29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D39" s="30" t="n"/>
      <c r="E39" s="31" t="n"/>
    </row>
    <row r="40" ht="20" customHeight="1">
      <c r="B40" s="21" t="inlineStr">
        <is>
          <t>PRECIO &amp; CONDICIONES DE PAGO</t>
        </is>
      </c>
      <c r="C40" s="22" t="n"/>
      <c r="D40" s="22" t="n"/>
      <c r="E40" s="23" t="n"/>
    </row>
    <row r="41" ht="26.5" customHeight="1">
      <c r="B41" s="24" t="inlineStr">
        <is>
          <t>Precio sugerido</t>
        </is>
      </c>
      <c r="C41" s="32" t="inlineStr">
        <is>
          <t>US$ 600</t>
        </is>
      </c>
      <c r="D41" s="26" t="n"/>
      <c r="E41" s="27" t="n"/>
    </row>
    <row r="42" ht="26.5" customHeight="1">
      <c r="B42" s="28" t="inlineStr">
        <is>
          <t>Precio lanzamiento (−20%)</t>
        </is>
      </c>
      <c r="C42" s="33" t="inlineStr">
        <is>
          <t>US$ 480</t>
        </is>
      </c>
      <c r="D42" s="30" t="n"/>
      <c r="E42" s="31" t="n"/>
    </row>
    <row r="43" ht="20.5" customHeight="1">
      <c r="B43" s="28" t="inlineStr">
        <is>
          <t>Base de precio</t>
        </is>
      </c>
      <c r="C43" s="29" t="inlineStr">
        <is>
          <t>Por espacio individual · mantenimiento US$ 15/año</t>
        </is>
      </c>
      <c r="D43" s="30" t="n"/>
      <c r="E43" s="31" t="n"/>
    </row>
    <row r="44" ht="35" customHeight="1">
      <c r="B44" s="24" t="inlineStr">
        <is>
          <t>Condiciones</t>
        </is>
      </c>
      <c r="C44" s="25" t="inlineStr">
        <is>
          <t>Pago único o financiado según política comercial vigente. Cuota de mantenimiento: US$ 15 anual.</t>
        </is>
      </c>
      <c r="D44" s="26" t="n"/>
      <c r="E44" s="27" t="n"/>
    </row>
    <row r="45" ht="20" customHeight="1">
      <c r="B45" s="21" t="inlineStr">
        <is>
          <t>PERFIL DEL COMPRADOR</t>
        </is>
      </c>
      <c r="C45" s="22" t="n"/>
      <c r="D45" s="22" t="n"/>
      <c r="E45" s="23" t="n"/>
    </row>
    <row r="46" ht="35" customHeight="1">
      <c r="B46" s="34" t="inlineStr">
        <is>
          <t>Cliente objetivo</t>
        </is>
      </c>
      <c r="C46" s="35" t="inlineStr">
        <is>
          <t>Familias que desean un lugar propio para visitar y rendir homenaje, con una inversión moderada.</t>
        </is>
      </c>
      <c r="D46" s="36" t="n"/>
      <c r="E46" s="37" t="n"/>
    </row>
    <row r="49" ht="30" customHeight="1">
      <c r="B49" s="15" t="inlineStr">
        <is>
          <t>JARDÍN DE CENIZAS · FAMILIAR</t>
        </is>
      </c>
      <c r="C49" s="16" t="n"/>
      <c r="D49" s="16" t="n"/>
      <c r="E49" s="17" t="n"/>
    </row>
    <row r="50" ht="20" customHeight="1">
      <c r="B50" s="18" t="inlineStr">
        <is>
          <t>Jardines de la Memoria · Jardín 1  ·  Destino final · Inhumación familiar</t>
        </is>
      </c>
      <c r="C50" s="19" t="n"/>
      <c r="D50" s="19" t="n"/>
      <c r="E50" s="20" t="n"/>
    </row>
    <row r="51" ht="20" customHeight="1">
      <c r="B51" s="21" t="inlineStr">
        <is>
          <t>VISIÓN GENERAL</t>
        </is>
      </c>
      <c r="C51" s="22" t="n"/>
      <c r="D51" s="22" t="n"/>
      <c r="E51" s="23" t="n"/>
    </row>
    <row r="52" ht="49.5" customHeight="1">
      <c r="B52" s="24" t="inlineStr">
        <is>
          <t>Concepto</t>
        </is>
      </c>
      <c r="C52" s="2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52" s="26" t="n"/>
      <c r="E52" s="27" t="n"/>
    </row>
    <row r="53" ht="20.5" customHeight="1">
      <c r="B53" s="28" t="inlineStr">
        <is>
          <t>Capacidad / Cobertura</t>
        </is>
      </c>
      <c r="C53" s="29" t="inlineStr">
        <is>
          <t>Hasta 4 espacios (familiar).</t>
        </is>
      </c>
      <c r="D53" s="30" t="n"/>
      <c r="E53" s="31" t="n"/>
    </row>
    <row r="54" ht="20" customHeight="1">
      <c r="B54" s="21" t="inlineStr">
        <is>
          <t>ESPECIFICACIONES TÉCNICAS</t>
        </is>
      </c>
      <c r="C54" s="22" t="n"/>
      <c r="D54" s="22" t="n"/>
      <c r="E54" s="23" t="n"/>
    </row>
    <row r="55" ht="20.5" customHeight="1">
      <c r="B55" s="24" t="inlineStr">
        <is>
          <t>Ambiente</t>
        </is>
      </c>
      <c r="C55" s="25" t="inlineStr">
        <is>
          <t>Jardín 1</t>
        </is>
      </c>
      <c r="D55" s="26" t="n"/>
      <c r="E55" s="27" t="n"/>
    </row>
    <row r="56" ht="20.5" customHeight="1">
      <c r="B56" s="28" t="inlineStr">
        <is>
          <t>Capacidad</t>
        </is>
      </c>
      <c r="C56" s="29" t="inlineStr">
        <is>
          <t>4 contenedores agrupados en losa</t>
        </is>
      </c>
      <c r="D56" s="30" t="n"/>
      <c r="E56" s="31" t="n"/>
    </row>
    <row r="57" ht="20.5" customHeight="1">
      <c r="B57" s="24" t="inlineStr">
        <is>
          <t>Identificación</t>
        </is>
      </c>
      <c r="C57" s="25" t="inlineStr">
        <is>
          <t>Tapa de granito por espacio, con la información del difunto</t>
        </is>
      </c>
      <c r="D57" s="26" t="n"/>
      <c r="E57" s="27" t="n"/>
    </row>
    <row r="58" ht="20.5" customHeight="1">
      <c r="B58" s="28" t="inlineStr">
        <is>
          <t>Permanencia</t>
        </is>
      </c>
      <c r="C58" s="29" t="inlineStr">
        <is>
          <t>30 años desde la primera inhumación, renovable por igual período</t>
        </is>
      </c>
      <c r="D58" s="30" t="n"/>
      <c r="E58" s="31" t="n"/>
    </row>
    <row r="59" ht="20.5" customHeight="1">
      <c r="B59" s="24" t="inlineStr">
        <is>
          <t>Acceso</t>
        </is>
      </c>
      <c r="C59" s="25" t="inlineStr">
        <is>
          <t>Camino de 1,2 m en gravilla con bordillo prefabricado</t>
        </is>
      </c>
      <c r="D59" s="26" t="n"/>
      <c r="E59" s="27" t="n"/>
    </row>
    <row r="60" ht="20.5" customHeight="1">
      <c r="B60" s="28" t="inlineStr">
        <is>
          <t>Mantenimiento</t>
        </is>
      </c>
      <c r="C60" s="29" t="inlineStr">
        <is>
          <t>US$ 24 anual</t>
        </is>
      </c>
      <c r="D60" s="30" t="n"/>
      <c r="E60" s="31" t="n"/>
    </row>
    <row r="61" ht="64" customHeight="1">
      <c r="B61" s="24" t="inlineStr">
        <is>
          <t>Servicios incluidos</t>
        </is>
      </c>
      <c r="C61" s="2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D61" s="26" t="n"/>
      <c r="E61" s="27" t="n"/>
    </row>
    <row r="62" ht="20" customHeight="1">
      <c r="B62" s="21" t="inlineStr">
        <is>
          <t>PRECIO &amp; CONDICIONES DE PAGO</t>
        </is>
      </c>
      <c r="C62" s="22" t="n"/>
      <c r="D62" s="22" t="n"/>
      <c r="E62" s="23" t="n"/>
    </row>
    <row r="63" ht="26.5" customHeight="1">
      <c r="B63" s="24" t="inlineStr">
        <is>
          <t>Precio sugerido</t>
        </is>
      </c>
      <c r="C63" s="32" t="inlineStr">
        <is>
          <t>US$ 2.000</t>
        </is>
      </c>
      <c r="D63" s="26" t="n"/>
      <c r="E63" s="27" t="n"/>
    </row>
    <row r="64" ht="26.5" customHeight="1">
      <c r="B64" s="28" t="inlineStr">
        <is>
          <t>Precio lanzamiento (−20%)</t>
        </is>
      </c>
      <c r="C64" s="33" t="inlineStr">
        <is>
          <t>US$ 1.600</t>
        </is>
      </c>
      <c r="D64" s="30" t="n"/>
      <c r="E64" s="31" t="n"/>
    </row>
    <row r="65" ht="20.5" customHeight="1">
      <c r="B65" s="28" t="inlineStr">
        <is>
          <t>Base de precio</t>
        </is>
      </c>
      <c r="C65" s="29" t="inlineStr">
        <is>
          <t>Por parcela familiar · hasta 4 espacios · mantenimiento US$ 24/año</t>
        </is>
      </c>
      <c r="D65" s="30" t="n"/>
      <c r="E65" s="31" t="n"/>
    </row>
    <row r="66" ht="35" customHeight="1">
      <c r="B66" s="24" t="inlineStr">
        <is>
          <t>Condiciones</t>
        </is>
      </c>
      <c r="C66" s="25" t="inlineStr">
        <is>
          <t>Pago único o financiado según política comercial vigente. Cuota de mantenimiento: US$ 24 anual.</t>
        </is>
      </c>
      <c r="D66" s="26" t="n"/>
      <c r="E66" s="27" t="n"/>
    </row>
    <row r="67" ht="20" customHeight="1">
      <c r="B67" s="21" t="inlineStr">
        <is>
          <t>PERFIL DEL COMPRADOR</t>
        </is>
      </c>
      <c r="C67" s="22" t="n"/>
      <c r="D67" s="22" t="n"/>
      <c r="E67" s="23" t="n"/>
    </row>
    <row r="68" ht="20.5" customHeight="1">
      <c r="B68" s="34" t="inlineStr">
        <is>
          <t>Cliente objetivo</t>
        </is>
      </c>
      <c r="C68" s="35" t="inlineStr">
        <is>
          <t>Familias que buscan un espacio propio para varias generaciones.</t>
        </is>
      </c>
      <c r="D68" s="36" t="n"/>
      <c r="E68" s="37" t="n"/>
    </row>
    <row r="71" ht="30" customHeight="1">
      <c r="B71" s="15" t="inlineStr">
        <is>
          <t>JARDÍN DE CENIZAS · ECOLÓGICO</t>
        </is>
      </c>
      <c r="C71" s="16" t="n"/>
      <c r="D71" s="16" t="n"/>
      <c r="E71" s="17" t="n"/>
    </row>
    <row r="72" ht="20" customHeight="1">
      <c r="B72" s="18" t="inlineStr">
        <is>
          <t>Jardines de la Memoria · Jardín 2  ·  Destino final · Inhumación ecológica</t>
        </is>
      </c>
      <c r="C72" s="19" t="n"/>
      <c r="D72" s="19" t="n"/>
      <c r="E72" s="20" t="n"/>
    </row>
    <row r="73" ht="20" customHeight="1">
      <c r="B73" s="21" t="inlineStr">
        <is>
          <t>VISIÓN GENERAL</t>
        </is>
      </c>
      <c r="C73" s="22" t="n"/>
      <c r="D73" s="22" t="n"/>
      <c r="E73" s="23" t="n"/>
    </row>
    <row r="74" ht="49.5" customHeight="1">
      <c r="B74" s="24" t="inlineStr">
        <is>
          <t>Concepto</t>
        </is>
      </c>
      <c r="C74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4" s="26" t="n"/>
      <c r="E74" s="27" t="n"/>
    </row>
    <row r="75" ht="20.5" customHeight="1">
      <c r="B75" s="28" t="inlineStr">
        <is>
          <t>Capacidad / Cobertura</t>
        </is>
      </c>
      <c r="C75" s="29" t="inlineStr">
        <is>
          <t>Individual (1 urna).</t>
        </is>
      </c>
      <c r="D75" s="30" t="n"/>
      <c r="E75" s="31" t="n"/>
    </row>
    <row r="76" ht="20" customHeight="1">
      <c r="B76" s="21" t="inlineStr">
        <is>
          <t>ESPECIFICACIONES TÉCNICAS</t>
        </is>
      </c>
      <c r="C76" s="22" t="n"/>
      <c r="D76" s="22" t="n"/>
      <c r="E76" s="23" t="n"/>
    </row>
    <row r="77" ht="20.5" customHeight="1">
      <c r="B77" s="24" t="inlineStr">
        <is>
          <t>Ambientes</t>
        </is>
      </c>
      <c r="C77" s="25" t="inlineStr">
        <is>
          <t>Jardín 2 · Ecológico o Bosque de las Orquídeas</t>
        </is>
      </c>
      <c r="D77" s="26" t="n"/>
      <c r="E77" s="27" t="n"/>
    </row>
    <row r="78" ht="20.5" customHeight="1">
      <c r="B78" s="28" t="inlineStr">
        <is>
          <t>Espacio por urna</t>
        </is>
      </c>
      <c r="C78" s="29" t="inlineStr">
        <is>
          <t>30 × 30 cm, 40 cm de profundidad</t>
        </is>
      </c>
      <c r="D78" s="30" t="n"/>
      <c r="E78" s="31" t="n"/>
    </row>
    <row r="79" ht="20.5" customHeight="1">
      <c r="B79" s="24" t="inlineStr">
        <is>
          <t>Urna</t>
        </is>
      </c>
      <c r="C79" s="25" t="inlineStr">
        <is>
          <t>Biodegradable; se integra al suelo</t>
        </is>
      </c>
      <c r="D79" s="26" t="n"/>
      <c r="E79" s="27" t="n"/>
    </row>
    <row r="80" ht="35" customHeight="1">
      <c r="B80" s="28" t="inlineStr">
        <is>
          <t>Identificación (Jardín 2)</t>
        </is>
      </c>
      <c r="C80" s="29" t="inlineStr">
        <is>
          <t>Placa de madera de 20 cm fijada a una varilla metálica, en posición vertical y sin contacto con el suelo</t>
        </is>
      </c>
      <c r="D80" s="30" t="n"/>
      <c r="E80" s="31" t="n"/>
    </row>
    <row r="81" ht="20.5" customHeight="1">
      <c r="B81" s="24" t="inlineStr">
        <is>
          <t>Identificación (Bosque)</t>
        </is>
      </c>
      <c r="C81" s="25" t="inlineStr">
        <is>
          <t>Placa de mármol de 20 × 15 cm</t>
        </is>
      </c>
      <c r="D81" s="26" t="n"/>
      <c r="E81" s="27" t="n"/>
    </row>
    <row r="82" ht="35" customHeight="1">
      <c r="B82" s="28" t="inlineStr">
        <is>
          <t>Permanencia</t>
        </is>
      </c>
      <c r="C82" s="29" t="inlineStr">
        <is>
          <t>3 años; luego el nombre pasa a una placa memorial en el monumento y el espacio se reutiliza</t>
        </is>
      </c>
      <c r="D82" s="30" t="n"/>
      <c r="E82" s="31" t="n"/>
    </row>
    <row r="83" ht="20.5" customHeight="1">
      <c r="B83" s="24" t="inlineStr">
        <is>
          <t>Placa memorial</t>
        </is>
      </c>
      <c r="C83" s="25" t="inlineStr">
        <is>
          <t>Incluida en el precio</t>
        </is>
      </c>
      <c r="D83" s="26" t="n"/>
      <c r="E83" s="27" t="n"/>
    </row>
    <row r="84" ht="20.5" customHeight="1">
      <c r="B84" s="28" t="inlineStr">
        <is>
          <t>Acceso</t>
        </is>
      </c>
      <c r="C84" s="29" t="inlineStr">
        <is>
          <t>Camino de 1,2 m en gravilla con bordillo prefabricado</t>
        </is>
      </c>
      <c r="D84" s="30" t="n"/>
      <c r="E84" s="31" t="n"/>
    </row>
    <row r="85" ht="78.5" customHeight="1">
      <c r="B85" s="24" t="inlineStr">
        <is>
          <t>Servicios incluidos</t>
        </is>
      </c>
      <c r="C85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5" s="26" t="n"/>
      <c r="E85" s="27" t="n"/>
    </row>
    <row r="86" ht="20" customHeight="1">
      <c r="B86" s="21" t="inlineStr">
        <is>
          <t>PRECIO &amp; CONDICIONES DE PAGO</t>
        </is>
      </c>
      <c r="C86" s="22" t="n"/>
      <c r="D86" s="22" t="n"/>
      <c r="E86" s="23" t="n"/>
    </row>
    <row r="87" ht="26.5" customHeight="1">
      <c r="B87" s="24" t="inlineStr">
        <is>
          <t>Precio sugerido</t>
        </is>
      </c>
      <c r="C87" s="32" t="inlineStr">
        <is>
          <t>US$ 750</t>
        </is>
      </c>
      <c r="D87" s="26" t="n"/>
      <c r="E87" s="27" t="n"/>
    </row>
    <row r="88" ht="26.5" customHeight="1">
      <c r="B88" s="28" t="inlineStr">
        <is>
          <t>Precio lanzamiento (−20%)</t>
        </is>
      </c>
      <c r="C88" s="33" t="inlineStr">
        <is>
          <t>US$ 600</t>
        </is>
      </c>
      <c r="D88" s="30" t="n"/>
      <c r="E88" s="31" t="n"/>
    </row>
    <row r="89" ht="20.5" customHeight="1">
      <c r="B89" s="28" t="inlineStr">
        <is>
          <t>Base de precio</t>
        </is>
      </c>
      <c r="C89" s="29" t="inlineStr">
        <is>
          <t>Por espacio individual · placa memorial incluida</t>
        </is>
      </c>
      <c r="D89" s="30" t="n"/>
      <c r="E89" s="31" t="n"/>
    </row>
    <row r="90" ht="35" customHeight="1">
      <c r="B90" s="24" t="inlineStr">
        <is>
          <t>Condiciones</t>
        </is>
      </c>
      <c r="C90" s="25" t="inlineStr">
        <is>
          <t>Pago único o financiado según política comercial vigente. Incluye la placa memorial en el monumento al término del plazo.</t>
        </is>
      </c>
      <c r="D90" s="26" t="n"/>
      <c r="E90" s="27" t="n"/>
    </row>
    <row r="91" ht="20" customHeight="1">
      <c r="B91" s="21" t="inlineStr">
        <is>
          <t>PERFIL DEL COMPRADOR</t>
        </is>
      </c>
      <c r="C91" s="22" t="n"/>
      <c r="D91" s="22" t="n"/>
      <c r="E91" s="23" t="n"/>
    </row>
    <row r="92" ht="35" customHeight="1">
      <c r="B92" s="34" t="inlineStr">
        <is>
          <t>Cliente objetivo</t>
        </is>
      </c>
      <c r="C92" s="35" t="inlineStr">
        <is>
          <t>Personas con conciencia ambiental que desean que sus cenizas vuelvan a la tierra, con un lugar identificado para visitar.</t>
        </is>
      </c>
      <c r="D92" s="36" t="n"/>
      <c r="E92" s="37" t="n"/>
    </row>
    <row r="95" ht="30" customHeight="1">
      <c r="B95" s="15" t="inlineStr">
        <is>
          <t>JARDÍN DE MASCOTAS</t>
        </is>
      </c>
      <c r="C95" s="16" t="n"/>
      <c r="D95" s="16" t="n"/>
      <c r="E95" s="17" t="n"/>
    </row>
    <row r="96" ht="20" customHeight="1">
      <c r="B96" s="18" t="inlineStr">
        <is>
          <t>Jardines de la Memoria · Mascotas  ·  Destino final · Inhumación ecológica</t>
        </is>
      </c>
      <c r="C96" s="19" t="n"/>
      <c r="D96" s="19" t="n"/>
      <c r="E96" s="20" t="n"/>
    </row>
    <row r="97" ht="20" customHeight="1">
      <c r="B97" s="21" t="inlineStr">
        <is>
          <t>VISIÓN GENERAL</t>
        </is>
      </c>
      <c r="C97" s="22" t="n"/>
      <c r="D97" s="22" t="n"/>
      <c r="E97" s="23" t="n"/>
    </row>
    <row r="98" ht="35" customHeight="1">
      <c r="B98" s="24" t="inlineStr">
        <is>
          <t>Concepto</t>
        </is>
      </c>
      <c r="C98" s="25" t="inlineStr">
        <is>
          <t>Jardín para inhumación ecológica de cenizas de mascotas: la urna biodegradable se entierra directamente en el suelo y se identifica con una placa de madera.</t>
        </is>
      </c>
      <c r="D98" s="26" t="n"/>
      <c r="E98" s="27" t="n"/>
    </row>
    <row r="99" ht="20.5" customHeight="1">
      <c r="B99" s="28" t="inlineStr">
        <is>
          <t>Capacidad / Cobertura</t>
        </is>
      </c>
      <c r="C99" s="29" t="inlineStr">
        <is>
          <t>Individual (una mascota por servicio).</t>
        </is>
      </c>
      <c r="D99" s="30" t="n"/>
      <c r="E99" s="31" t="n"/>
    </row>
    <row r="100" ht="20" customHeight="1">
      <c r="B100" s="21" t="inlineStr">
        <is>
          <t>ESPECIFICACIONES TÉCNICAS</t>
        </is>
      </c>
      <c r="C100" s="22" t="n"/>
      <c r="D100" s="22" t="n"/>
      <c r="E100" s="23" t="n"/>
    </row>
    <row r="101" ht="20.5" customHeight="1">
      <c r="B101" s="24" t="inlineStr">
        <is>
          <t>Tipo de producto</t>
        </is>
      </c>
      <c r="C101" s="25" t="inlineStr">
        <is>
          <t>Servicio de pago único</t>
        </is>
      </c>
      <c r="D101" s="26" t="n"/>
      <c r="E101" s="27" t="n"/>
    </row>
    <row r="102" ht="20.5" customHeight="1">
      <c r="B102" s="28" t="inlineStr">
        <is>
          <t>Espacio por urna</t>
        </is>
      </c>
      <c r="C102" s="29" t="inlineStr">
        <is>
          <t>15 × 20 cm o 15 × 30 cm, según el tamaño de la urna</t>
        </is>
      </c>
      <c r="D102" s="30" t="n"/>
      <c r="E102" s="31" t="n"/>
    </row>
    <row r="103" ht="35" customHeight="1">
      <c r="B103" s="24" t="inlineStr">
        <is>
          <t>Urna</t>
        </is>
      </c>
      <c r="C103" s="25" t="inlineStr">
        <is>
          <t>Biodegradable; se integra al suelo. Incluida solo en la opción con cremación (US$ 550); con solo espacio (US$ 400) se adquiere por separado</t>
        </is>
      </c>
      <c r="D103" s="26" t="n"/>
      <c r="E103" s="27" t="n"/>
    </row>
    <row r="104" ht="20.5" customHeight="1">
      <c r="B104" s="28" t="inlineStr">
        <is>
          <t>Identificación</t>
        </is>
      </c>
      <c r="C104" s="29" t="inlineStr">
        <is>
          <t>Placa de madera de 20 cm</t>
        </is>
      </c>
      <c r="D104" s="30" t="n"/>
      <c r="E104" s="31" t="n"/>
    </row>
    <row r="105" ht="20.5" customHeight="1">
      <c r="B105" s="24" t="inlineStr">
        <is>
          <t>Permanencia</t>
        </is>
      </c>
      <c r="C105" s="25" t="inlineStr">
        <is>
          <t>3 años; luego el espacio se reutiliza</t>
        </is>
      </c>
      <c r="D105" s="26" t="n"/>
      <c r="E105" s="27" t="n"/>
    </row>
    <row r="106" ht="20.5" customHeight="1">
      <c r="B106" s="28" t="inlineStr">
        <is>
          <t>Placa memorial</t>
        </is>
      </c>
      <c r="C106" s="29" t="inlineStr">
        <is>
          <t>Incluida en el precio; en el monumento al término del plazo</t>
        </is>
      </c>
      <c r="D106" s="30" t="n"/>
      <c r="E106" s="31" t="n"/>
    </row>
    <row r="107" ht="64" customHeight="1">
      <c r="B107" s="24" t="inlineStr">
        <is>
          <t>Servicios incluidos</t>
        </is>
      </c>
      <c r="C107" s="2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D107" s="26" t="n"/>
      <c r="E107" s="27" t="n"/>
    </row>
    <row r="108" ht="20" customHeight="1">
      <c r="B108" s="21" t="inlineStr">
        <is>
          <t>PRECIO &amp; CONDICIONES DE PAGO</t>
        </is>
      </c>
      <c r="C108" s="22" t="n"/>
      <c r="D108" s="22" t="n"/>
      <c r="E108" s="23" t="n"/>
    </row>
    <row r="109" ht="26.5" customHeight="1">
      <c r="B109" s="24" t="inlineStr">
        <is>
          <t>Precio sugerido</t>
        </is>
      </c>
      <c r="C109" s="32" t="inlineStr">
        <is>
          <t>US$ 400 / US$ 550</t>
        </is>
      </c>
      <c r="D109" s="26" t="n"/>
      <c r="E109" s="27" t="n"/>
    </row>
    <row r="110" ht="26.5" customHeight="1">
      <c r="B110" s="28" t="inlineStr">
        <is>
          <t>Precio lanzamiento (−20%)</t>
        </is>
      </c>
      <c r="C110" s="33" t="inlineStr">
        <is>
          <t>US$ 320 / US$ 440</t>
        </is>
      </c>
      <c r="D110" s="30" t="n"/>
      <c r="E110" s="31" t="n"/>
    </row>
    <row r="111" ht="20.5" customHeight="1">
      <c r="B111" s="28" t="inlineStr">
        <is>
          <t>Base de precio</t>
        </is>
      </c>
      <c r="C111" s="29" t="inlineStr">
        <is>
          <t>US$ 400 solo espacio (urna aparte) · US$ 550 con cremación y urna</t>
        </is>
      </c>
      <c r="D111" s="30" t="n"/>
      <c r="E111" s="31" t="n"/>
    </row>
    <row r="112" ht="49.5" customHeight="1">
      <c r="B112" s="24" t="inlineStr">
        <is>
          <t>Condiciones</t>
        </is>
      </c>
      <c r="C112" s="2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  <c r="D112" s="26" t="n"/>
      <c r="E112" s="27" t="n"/>
    </row>
    <row r="113" ht="20" customHeight="1">
      <c r="B113" s="21" t="inlineStr">
        <is>
          <t>PERFIL DEL COMPRADOR</t>
        </is>
      </c>
      <c r="C113" s="22" t="n"/>
      <c r="D113" s="22" t="n"/>
      <c r="E113" s="23" t="n"/>
    </row>
    <row r="114" ht="20.5" customHeight="1">
      <c r="B114" s="34" t="inlineStr">
        <is>
          <t>Cliente objetivo</t>
        </is>
      </c>
      <c r="C114" s="35" t="inlineStr">
        <is>
          <t>Familias que consideran a su mascota parte del hogar y desean un cierre digno.</t>
        </is>
      </c>
      <c r="D114" s="36" t="n"/>
      <c r="E114" s="37" t="n"/>
    </row>
    <row r="117" ht="30" customHeight="1">
      <c r="B117" s="15" t="inlineStr">
        <is>
          <t>JARDÍN DE CENIZAS · CEREMONIAL</t>
        </is>
      </c>
      <c r="C117" s="16" t="n"/>
      <c r="D117" s="16" t="n"/>
      <c r="E117" s="17" t="n"/>
    </row>
    <row r="118" ht="20" customHeight="1">
      <c r="B118" s="18" t="inlineStr">
        <is>
          <t>Jardines de la Memoria · Jardín 3  ·  Destino final · Inhumación con ceremonia</t>
        </is>
      </c>
      <c r="C118" s="19" t="n"/>
      <c r="D118" s="19" t="n"/>
      <c r="E118" s="20" t="n"/>
    </row>
    <row r="119" ht="24" customHeight="1">
      <c r="B119" s="38" t="inlineStr">
        <is>
          <t>★  PRÓXIMO LANZAMIENTO · se lanzará en otro momento</t>
        </is>
      </c>
      <c r="C119" s="39" t="n"/>
      <c r="D119" s="39" t="n"/>
      <c r="E119" s="40" t="n"/>
    </row>
    <row r="120" ht="20" customHeight="1">
      <c r="B120" s="21" t="inlineStr">
        <is>
          <t>VISIÓN GENERAL</t>
        </is>
      </c>
      <c r="C120" s="22" t="n"/>
      <c r="D120" s="22" t="n"/>
      <c r="E120" s="23" t="n"/>
    </row>
    <row r="121" ht="35" customHeight="1">
      <c r="B121" s="24" t="inlineStr">
        <is>
          <t>Concepto</t>
        </is>
      </c>
      <c r="C121" s="25" t="inlineStr">
        <is>
          <t>Jardín para inhumación de urnas de cenizas con ceremonia de agua, con fuentes como elemento central del rito de despedida.</t>
        </is>
      </c>
      <c r="D121" s="26" t="n"/>
      <c r="E121" s="27" t="n"/>
    </row>
    <row r="122" ht="20.5" customHeight="1">
      <c r="B122" s="28" t="inlineStr">
        <is>
          <t>Capacidad / Cobertura</t>
        </is>
      </c>
      <c r="C122" s="29" t="inlineStr">
        <is>
          <t>A definir.</t>
        </is>
      </c>
      <c r="D122" s="30" t="n"/>
      <c r="E122" s="31" t="n"/>
    </row>
    <row r="123" ht="20" customHeight="1">
      <c r="B123" s="21" t="inlineStr">
        <is>
          <t>ESPECIFICACIONES TÉCNICAS</t>
        </is>
      </c>
      <c r="C123" s="22" t="n"/>
      <c r="D123" s="22" t="n"/>
      <c r="E123" s="23" t="n"/>
    </row>
    <row r="124" ht="20.5" customHeight="1">
      <c r="B124" s="24" t="inlineStr">
        <is>
          <t>Ambiente</t>
        </is>
      </c>
      <c r="C124" s="25" t="inlineStr">
        <is>
          <t>Jardín 3</t>
        </is>
      </c>
      <c r="D124" s="26" t="n"/>
      <c r="E124" s="27" t="n"/>
    </row>
    <row r="125" ht="20.5" customHeight="1">
      <c r="B125" s="28" t="inlineStr">
        <is>
          <t>Elemento central</t>
        </is>
      </c>
      <c r="C125" s="29" t="inlineStr">
        <is>
          <t>Fuente de agua para la ceremonia</t>
        </is>
      </c>
      <c r="D125" s="30" t="n"/>
      <c r="E125" s="31" t="n"/>
    </row>
    <row r="126" ht="20.5" customHeight="1">
      <c r="B126" s="24" t="inlineStr">
        <is>
          <t>Entorno</t>
        </is>
      </c>
      <c r="C126" s="25" t="inlineStr">
        <is>
          <t>Barrera visual que separa el jardín del crematorio</t>
        </is>
      </c>
      <c r="D126" s="26" t="n"/>
      <c r="E126" s="27" t="n"/>
    </row>
    <row r="127" ht="35" customHeight="1">
      <c r="B127" s="28" t="inlineStr">
        <is>
          <t>Servicios incluidos</t>
        </is>
      </c>
      <c r="C127" s="29" t="inlineStr">
        <is>
          <t>• Inhumación de urnas de cenizas
• Ceremonia con agua en fuente</t>
        </is>
      </c>
      <c r="D127" s="30" t="n"/>
      <c r="E127" s="31" t="n"/>
    </row>
    <row r="128" ht="20" customHeight="1">
      <c r="B128" s="21" t="inlineStr">
        <is>
          <t>PRECIO &amp; CONDICIONES DE PAGO</t>
        </is>
      </c>
      <c r="C128" s="22" t="n"/>
      <c r="D128" s="22" t="n"/>
      <c r="E128" s="23" t="n"/>
    </row>
    <row r="129" ht="26.5" customHeight="1">
      <c r="B129" s="24" t="inlineStr">
        <is>
          <t>Precio sugerido</t>
        </is>
      </c>
      <c r="C129" s="32" t="inlineStr">
        <is>
          <t>A definir</t>
        </is>
      </c>
      <c r="D129" s="26" t="n"/>
      <c r="E129" s="27" t="n"/>
    </row>
    <row r="130" ht="26.5" customHeight="1">
      <c r="B130" s="28" t="inlineStr">
        <is>
          <t>Precio lanzamiento (−20%)</t>
        </is>
      </c>
      <c r="C130" s="33" t="inlineStr">
        <is>
          <t>A definir</t>
        </is>
      </c>
      <c r="D130" s="30" t="n"/>
      <c r="E130" s="31" t="n"/>
    </row>
    <row r="131" ht="20.5" customHeight="1">
      <c r="B131" s="28" t="inlineStr">
        <is>
          <t>Base de precio</t>
        </is>
      </c>
      <c r="C131" s="29" t="inlineStr">
        <is>
          <t>Producto en definición</t>
        </is>
      </c>
      <c r="D131" s="30" t="n"/>
      <c r="E131" s="31" t="n"/>
    </row>
    <row r="132" ht="20.5" customHeight="1">
      <c r="B132" s="24" t="inlineStr">
        <is>
          <t>Condiciones</t>
        </is>
      </c>
      <c r="C132" s="25" t="inlineStr">
        <is>
          <t>A definir.</t>
        </is>
      </c>
      <c r="D132" s="26" t="n"/>
      <c r="E132" s="27" t="n"/>
    </row>
    <row r="133" ht="20" customHeight="1">
      <c r="B133" s="21" t="inlineStr">
        <is>
          <t>PERFIL DEL COMPRADOR</t>
        </is>
      </c>
      <c r="C133" s="22" t="n"/>
      <c r="D133" s="22" t="n"/>
      <c r="E133" s="23" t="n"/>
    </row>
    <row r="134" ht="35" customHeight="1">
      <c r="B134" s="34" t="inlineStr">
        <is>
          <t>Cliente objetivo</t>
        </is>
      </c>
      <c r="C134" s="35" t="inlineStr">
        <is>
          <t>Familias que valoran un rito de despedida simbólico y un entorno contemplativo.</t>
        </is>
      </c>
      <c r="D134" s="36" t="n"/>
      <c r="E134" s="37" t="n"/>
    </row>
  </sheetData>
  <mergeCells count="123">
    <mergeCell ref="C44:E44"/>
    <mergeCell ref="C80:E80"/>
    <mergeCell ref="C129:E129"/>
    <mergeCell ref="C21:E21"/>
    <mergeCell ref="B123:E123"/>
    <mergeCell ref="B76:E76"/>
    <mergeCell ref="B45:E45"/>
    <mergeCell ref="C60:E60"/>
    <mergeCell ref="B113:E113"/>
    <mergeCell ref="B91:E91"/>
    <mergeCell ref="C23:E23"/>
    <mergeCell ref="B100:E100"/>
    <mergeCell ref="C7:E7"/>
    <mergeCell ref="B22:E22"/>
    <mergeCell ref="B31:E31"/>
    <mergeCell ref="C57:E57"/>
    <mergeCell ref="B86:E86"/>
    <mergeCell ref="C18:E18"/>
    <mergeCell ref="C101:E101"/>
    <mergeCell ref="C77:E77"/>
    <mergeCell ref="C34:E34"/>
    <mergeCell ref="C42:E42"/>
    <mergeCell ref="B1:E1"/>
    <mergeCell ref="C74:E74"/>
    <mergeCell ref="C126:E126"/>
    <mergeCell ref="C20:E20"/>
    <mergeCell ref="C103:E103"/>
    <mergeCell ref="C85:E85"/>
    <mergeCell ref="C112:E112"/>
    <mergeCell ref="B40:E40"/>
    <mergeCell ref="C99:E99"/>
    <mergeCell ref="B49:E49"/>
    <mergeCell ref="C75:E75"/>
    <mergeCell ref="C84:E84"/>
    <mergeCell ref="C127:E127"/>
    <mergeCell ref="C114:E114"/>
    <mergeCell ref="B51:E51"/>
    <mergeCell ref="C59:E59"/>
    <mergeCell ref="C130:E130"/>
    <mergeCell ref="C12:E12"/>
    <mergeCell ref="C46:E46"/>
    <mergeCell ref="B26:E26"/>
    <mergeCell ref="B50:E50"/>
    <mergeCell ref="C52:E52"/>
    <mergeCell ref="C61:E61"/>
    <mergeCell ref="C39:E39"/>
    <mergeCell ref="B16:E16"/>
    <mergeCell ref="C106:E106"/>
    <mergeCell ref="C32:E32"/>
    <mergeCell ref="C38:E38"/>
    <mergeCell ref="C81:E81"/>
    <mergeCell ref="C125:E125"/>
    <mergeCell ref="B27:E27"/>
    <mergeCell ref="C13:E13"/>
    <mergeCell ref="C131:E131"/>
    <mergeCell ref="C87:E87"/>
    <mergeCell ref="B117:E117"/>
    <mergeCell ref="C15:E15"/>
    <mergeCell ref="B67:E67"/>
    <mergeCell ref="C33:E33"/>
    <mergeCell ref="C89:E89"/>
    <mergeCell ref="C104:E104"/>
    <mergeCell ref="B119:E119"/>
    <mergeCell ref="C79:E79"/>
    <mergeCell ref="C88:E88"/>
    <mergeCell ref="C35:E35"/>
    <mergeCell ref="C63:E63"/>
    <mergeCell ref="C121:E121"/>
    <mergeCell ref="C10:E10"/>
    <mergeCell ref="B118:E118"/>
    <mergeCell ref="C55:E55"/>
    <mergeCell ref="B6:E6"/>
    <mergeCell ref="B95:E95"/>
    <mergeCell ref="C36:E36"/>
    <mergeCell ref="C11:E11"/>
    <mergeCell ref="B97:E97"/>
    <mergeCell ref="B54:E54"/>
    <mergeCell ref="B72:E72"/>
    <mergeCell ref="C122:E122"/>
    <mergeCell ref="C109:E109"/>
    <mergeCell ref="B71:E71"/>
    <mergeCell ref="C37:E37"/>
    <mergeCell ref="C78:E78"/>
    <mergeCell ref="B120:E120"/>
    <mergeCell ref="B2:E2"/>
    <mergeCell ref="C92:E92"/>
    <mergeCell ref="C30:E30"/>
    <mergeCell ref="C14:E14"/>
    <mergeCell ref="C98:E98"/>
    <mergeCell ref="C107:E107"/>
    <mergeCell ref="C64:E64"/>
    <mergeCell ref="B28:E28"/>
    <mergeCell ref="B108:E108"/>
    <mergeCell ref="B9:E9"/>
    <mergeCell ref="C41:E41"/>
    <mergeCell ref="C134:E134"/>
    <mergeCell ref="C124:E124"/>
    <mergeCell ref="C56:E56"/>
    <mergeCell ref="B5:E5"/>
    <mergeCell ref="C90:E90"/>
    <mergeCell ref="C105:E105"/>
    <mergeCell ref="B133:E133"/>
    <mergeCell ref="C43:E43"/>
    <mergeCell ref="B4:E4"/>
    <mergeCell ref="C132:E132"/>
    <mergeCell ref="C110:E110"/>
    <mergeCell ref="C8:E8"/>
    <mergeCell ref="B62:E62"/>
    <mergeCell ref="C17:E17"/>
    <mergeCell ref="C82:E82"/>
    <mergeCell ref="C66:E66"/>
    <mergeCell ref="C19:E19"/>
    <mergeCell ref="C53:E53"/>
    <mergeCell ref="B96:E96"/>
    <mergeCell ref="C102:E102"/>
    <mergeCell ref="C111:E111"/>
    <mergeCell ref="C68:E68"/>
    <mergeCell ref="C83:E83"/>
    <mergeCell ref="C58:E58"/>
    <mergeCell ref="B73:E73"/>
    <mergeCell ref="C29:E29"/>
    <mergeCell ref="B128:E128"/>
    <mergeCell ref="C65:E65"/>
  </mergeCells>
  <pageMargins left="0.75" right="0.75" top="1" bottom="1" header="0.5" footer="0.5"/>
  <pageSetup orientation="portrait" fitToHeight="0" fitToWidth="1"/>
  <rowBreaks count="5" manualBreakCount="5">
    <brk id="24" min="0" max="16383" man="1"/>
    <brk id="47" min="0" max="16383" man="1"/>
    <brk id="69" min="0" max="16383" man="1"/>
    <brk id="93" min="0" max="16383" man="1"/>
    <brk id="115" min="0" max="16383" man="1"/>
  </rowBreaks>
</worksheet>
</file>

<file path=xl/worksheets/sheet3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8" customWidth="1" min="5" max="5"/>
    <col width="38" customWidth="1" min="6" max="6"/>
    <col width="28" customWidth="1" min="7" max="7"/>
    <col width="42" customWidth="1" min="8" max="8"/>
  </cols>
  <sheetData>
    <row r="1" ht="34" customHeight="1">
      <c r="A1" s="1" t="inlineStr">
        <is>
          <t>LA AUXILIADORA · VANGRUPO  |  POLÍTICA DE COMISIONES — USO INTERNO</t>
        </is>
      </c>
    </row>
    <row r="2" ht="22" customHeight="1">
      <c r="A2" s="41" t="inlineStr">
        <is>
          <t>PROPUESTA · pendiente de validación con el Gerente Comercial</t>
        </is>
      </c>
    </row>
    <row r="4" ht="36" customHeight="1">
      <c r="A4" s="42" t="inlineStr">
        <is>
          <t>Producto</t>
        </is>
      </c>
      <c r="B4" s="42" t="inlineStr">
        <is>
          <t>Precio (c/ IVA)</t>
        </is>
      </c>
      <c r="C4" s="42" t="inlineStr">
        <is>
          <t>Precio sin IVA</t>
        </is>
      </c>
      <c r="D4" s="42" t="inlineStr">
        <is>
          <t>% Comisión</t>
        </is>
      </c>
      <c r="E4" s="42" t="inlineStr">
        <is>
          <t>Comisión por venta (sin IVA)</t>
        </is>
      </c>
      <c r="F4" s="42" t="inlineStr">
        <is>
          <t>Momento de pago</t>
        </is>
      </c>
      <c r="G4" s="42" t="inlineStr">
        <is>
          <t>Estorno</t>
        </is>
      </c>
      <c r="H4" s="42" t="inlineStr">
        <is>
          <t>Observaciones</t>
        </is>
      </c>
    </row>
    <row r="5" ht="44" customHeight="1">
      <c r="A5" s="4" t="inlineStr">
        <is>
          <t>Solución Modular de Cremación</t>
        </is>
      </c>
      <c r="B5" s="43" t="n">
        <v>1000</v>
      </c>
      <c r="C5" s="43">
        <f>B5*100/113</f>
        <v/>
      </c>
      <c r="D5" s="44" t="n">
        <v>0.08</v>
      </c>
      <c r="E5" s="45">
        <f>C5*D5</f>
        <v/>
      </c>
      <c r="F5" s="5" t="inlineStr">
        <is>
          <t>Pago único cuando el cliente paga la 3ª cuota</t>
        </is>
      </c>
      <c r="G5" s="5" t="inlineStr">
        <is>
          <t>Si el cliente cancela antes de la 12ª cuota</t>
        </is>
      </c>
      <c r="H5" s="5" t="inlineStr">
        <is>
          <t>Alternativa: comisión = 10 primeras cuotas del cliente (≈ US$ 83), pagadas mes a mes, sin estorno.</t>
        </is>
      </c>
    </row>
    <row r="6" ht="44" customHeight="1">
      <c r="A6" s="7" t="inlineStr">
        <is>
          <t>Jardín de Cenizas · Individual</t>
        </is>
      </c>
      <c r="B6" s="46" t="n">
        <v>600</v>
      </c>
      <c r="C6" s="46">
        <f>B6*100/113</f>
        <v/>
      </c>
      <c r="D6" s="47" t="n">
        <v>0.08</v>
      </c>
      <c r="E6" s="48">
        <f>C6*D6</f>
        <v/>
      </c>
      <c r="F6" s="8" t="inlineStr">
        <is>
          <t>Contado: mes siguiente al pago. Financiado: proporcional a lo cobrado</t>
        </is>
      </c>
      <c r="G6" s="8" t="inlineStr">
        <is>
          <t>Cancelación en los primeros 90 días</t>
        </is>
      </c>
      <c r="H6" s="8" t="inlineStr"/>
    </row>
    <row r="7" ht="44" customHeight="1">
      <c r="A7" s="4" t="inlineStr">
        <is>
          <t>Jardín de Cenizas · Familiar</t>
        </is>
      </c>
      <c r="B7" s="43" t="n">
        <v>2000</v>
      </c>
      <c r="C7" s="43">
        <f>B7*100/113</f>
        <v/>
      </c>
      <c r="D7" s="44" t="n">
        <v>0.08</v>
      </c>
      <c r="E7" s="45">
        <f>C7*D7</f>
        <v/>
      </c>
      <c r="F7" s="5" t="inlineStr">
        <is>
          <t>Contado: mes siguiente al pago. Financiado: proporcional a lo cobrado</t>
        </is>
      </c>
      <c r="G7" s="5" t="inlineStr">
        <is>
          <t>Cancelación en los primeros 90 días</t>
        </is>
      </c>
      <c r="H7" s="5" t="inlineStr"/>
    </row>
    <row r="8" ht="44" customHeight="1">
      <c r="A8" s="7" t="inlineStr">
        <is>
          <t>Jardín de Cenizas · Ecológico</t>
        </is>
      </c>
      <c r="B8" s="46" t="n">
        <v>750</v>
      </c>
      <c r="C8" s="46">
        <f>B8*100/113</f>
        <v/>
      </c>
      <c r="D8" s="47" t="n">
        <v>0.08</v>
      </c>
      <c r="E8" s="48">
        <f>C8*D8</f>
        <v/>
      </c>
      <c r="F8" s="8" t="inlineStr">
        <is>
          <t>Contado: mes siguiente al pago. Financiado: proporcional a lo cobrado</t>
        </is>
      </c>
      <c r="G8" s="8" t="inlineStr">
        <is>
          <t>Cancelación en los primeros 90 días</t>
        </is>
      </c>
      <c r="H8" s="8" t="inlineStr"/>
    </row>
    <row r="9" ht="44" customHeight="1">
      <c r="A9" s="4" t="inlineStr">
        <is>
          <t>Jardín de Mascotas · solo espacio</t>
        </is>
      </c>
      <c r="B9" s="43" t="n">
        <v>400</v>
      </c>
      <c r="C9" s="43">
        <f>B9*100/113</f>
        <v/>
      </c>
      <c r="D9" s="44" t="n">
        <v>0.08</v>
      </c>
      <c r="E9" s="45">
        <f>C9*D9</f>
        <v/>
      </c>
      <c r="F9" s="5" t="inlineStr">
        <is>
          <t>Mes siguiente al pago (pago único)</t>
        </is>
      </c>
      <c r="G9" s="5" t="inlineStr">
        <is>
          <t>Cancelación en los primeros 90 días</t>
        </is>
      </c>
      <c r="H9" s="5" t="inlineStr"/>
    </row>
    <row r="10" ht="44" customHeight="1">
      <c r="A10" s="7" t="inlineStr">
        <is>
          <t>Jardín de Mascotas · jardín + cremación</t>
        </is>
      </c>
      <c r="B10" s="46" t="n">
        <v>550</v>
      </c>
      <c r="C10" s="46">
        <f>B10*100/113</f>
        <v/>
      </c>
      <c r="D10" s="47" t="n">
        <v>0.08</v>
      </c>
      <c r="E10" s="48">
        <f>C10*D10</f>
        <v/>
      </c>
      <c r="F10" s="8" t="inlineStr">
        <is>
          <t>Mes siguiente al pago (pago único)</t>
        </is>
      </c>
      <c r="G10" s="8" t="inlineStr">
        <is>
          <t>Cancelación en los primeros 90 días</t>
        </is>
      </c>
      <c r="H10" s="8" t="inlineStr"/>
    </row>
    <row r="11" ht="44" customHeight="1">
      <c r="A11" s="4" t="inlineStr">
        <is>
          <t>Jardín de Cenizas · Ceremonial</t>
        </is>
      </c>
      <c r="B11" s="43" t="inlineStr">
        <is>
          <t>A definir</t>
        </is>
      </c>
      <c r="C11" s="43" t="inlineStr"/>
      <c r="D11" s="44" t="inlineStr">
        <is>
          <t>A definir</t>
        </is>
      </c>
      <c r="E11" s="45" t="inlineStr"/>
      <c r="F11" s="5" t="inlineStr">
        <is>
          <t>A definir</t>
        </is>
      </c>
      <c r="G11" s="5" t="inlineStr">
        <is>
          <t>A definir</t>
        </is>
      </c>
      <c r="H11" s="5" t="inlineStr">
        <is>
          <t>Próximo lanzamiento; precio a definir.</t>
        </is>
      </c>
    </row>
    <row r="13" ht="20" customHeight="1">
      <c r="A13" s="49" t="inlineStr">
        <is>
          <t>REGLAS GENERALES</t>
        </is>
      </c>
    </row>
    <row r="14" ht="20" customHeight="1">
      <c r="A14" s="50" t="inlineStr">
        <is>
          <t>1. Base de cálculo: valor efectivamente cobrado al cliente, sin IVA (13%).</t>
        </is>
      </c>
    </row>
    <row r="15" ht="20" customHeight="1">
      <c r="A15" s="50" t="inlineStr">
        <is>
          <t>2. No generan comisión: cuotas de mantenimiento anual (US$ 15 / US$ 24).</t>
        </is>
      </c>
    </row>
    <row r="16" ht="20" customHeight="1">
      <c r="A16" s="50" t="inlineStr">
        <is>
          <t>3. Bono de venta combinada: US$ 15 al vender la Solución Modular junto con cualquier jardín.</t>
        </is>
      </c>
    </row>
    <row r="17" ht="20" customHeight="1">
      <c r="A17" s="50" t="inlineStr">
        <is>
          <t>4. Acelerador de campaña Día de los Muertos (opcional): +2 pp en Individual y Ecológico para ventas cerradas hasta el 30/11/2026.</t>
        </is>
      </c>
    </row>
    <row r="18" ht="20" customHeight="1">
      <c r="A18" s="50" t="inlineStr">
        <is>
          <t>5. Estorno: la comisión se descuenta de los pagos siguientes al vendedor.</t>
        </is>
      </c>
    </row>
  </sheetData>
  <mergeCells count="8">
    <mergeCell ref="A18:H18"/>
    <mergeCell ref="A15:H15"/>
    <mergeCell ref="A2:H2"/>
    <mergeCell ref="A16:H16"/>
    <mergeCell ref="A13:H13"/>
    <mergeCell ref="A14:H14"/>
    <mergeCell ref="A1:H1"/>
    <mergeCell ref="A17:H1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2026-10-15T21:16:44Z</dcterms:created>
  <dcterms:modified xmlns:dcterms="http://purl.org/dc/terms/" xmlns:xsi="http://www.w3.org/2001/XMLSchema-instance" xsi:type="dcterms:W3CDTF">2026-10-15T21:16:45Z</dcterms:modified>
</cp:coreProperties>
</file>