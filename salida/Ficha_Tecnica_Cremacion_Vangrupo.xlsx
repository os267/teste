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Política de Comisiones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3"/>
    </font>
    <font>
      <name val="Calibri"/>
      <b val="1"/>
      <color rgb="00C5A059"/>
      <sz val="10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  <font>
      <name val="Calibri"/>
      <b val="1"/>
      <color rgb="000F2537"/>
      <sz val="12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11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2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3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3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4" fillId="5" borderId="8" applyAlignment="1" pivotButton="0" quotePrefix="0" xfId="0">
      <alignment vertical="top" wrapText="1"/>
    </xf>
    <xf numFmtId="0" fontId="14" fillId="6" borderId="8" applyAlignment="1" pivotButton="0" quotePrefix="0" xfId="0">
      <alignment vertical="top" wrapText="1"/>
    </xf>
    <xf numFmtId="0" fontId="13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vertical="center" indent="1"/>
    </xf>
    <xf numFmtId="0" fontId="3" fillId="4" borderId="1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9" fontId="15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vertical="center" wrapText="1"/>
    </xf>
    <xf numFmtId="9" fontId="15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0" fontId="4" fillId="5" borderId="2" applyAlignment="1" pivotButton="0" quotePrefix="0" xfId="0">
      <alignment vertical="center" wrapText="1"/>
    </xf>
    <xf numFmtId="0" fontId="4" fillId="6" borderId="2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de lanzamiento · Finados y noviembre)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de lanzamiento · Finados y noviembre)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de lanzamiento · Finados y noviembre)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de lanzamiento · Finados y noviembre)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de lanzamiento · Finados y noviembre)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2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 y portafolio existente</t>
        </is>
      </c>
    </row>
    <row r="4" ht="30" customHeight="1">
      <c r="B4" s="15" t="inlineStr">
        <is>
          <t>LANZAMIENTOS · FINADOS 2026</t>
        </is>
      </c>
    </row>
    <row r="5" ht="20" customHeight="1">
      <c r="B5" s="16" t="inlineStr">
        <is>
          <t>Solución Modular y Jardines de la Memoria · descuento de lanzamiento −20%</t>
        </is>
      </c>
    </row>
    <row r="7" ht="30" customHeight="1">
      <c r="B7" s="17" t="inlineStr">
        <is>
          <t>SOLUCIÓN MODULAR DE CREMACIÓN</t>
        </is>
      </c>
      <c r="C7" s="18" t="n"/>
      <c r="D7" s="18" t="n"/>
      <c r="E7" s="19" t="n"/>
    </row>
    <row r="8" ht="20" customHeight="1">
      <c r="B8" s="20" t="inlineStr">
        <is>
          <t>Línea Cremación Modular  ·  Cremación · Módulo add-on</t>
        </is>
      </c>
      <c r="C8" s="21" t="n"/>
      <c r="D8" s="21" t="n"/>
      <c r="E8" s="22" t="n"/>
    </row>
    <row r="9" ht="20" customHeight="1">
      <c r="B9" s="23" t="inlineStr">
        <is>
          <t>VISIÓN GENERAL</t>
        </is>
      </c>
      <c r="C9" s="24" t="n"/>
      <c r="D9" s="24" t="n"/>
      <c r="E9" s="25" t="n"/>
    </row>
    <row r="10" ht="35" customHeight="1">
      <c r="B10" s="26" t="inlineStr">
        <is>
          <t>Concepto</t>
        </is>
      </c>
      <c r="C10" s="27" t="inlineStr">
        <is>
          <t>Módulo de cremación integrable a cualquier plan funerario vigente o nuevo de Vangrupo, sin necesidad de cambiar de plan.</t>
        </is>
      </c>
      <c r="D10" s="28" t="n"/>
      <c r="E10" s="29" t="n"/>
    </row>
    <row r="11" ht="20.5" customHeight="1">
      <c r="B11" s="30" t="inlineStr">
        <is>
          <t>Capacidad / Cobertura</t>
        </is>
      </c>
      <c r="C11" s="31" t="inlineStr">
        <is>
          <t>Individual (1 titular / beneficiario por módulo).</t>
        </is>
      </c>
      <c r="D11" s="32" t="n"/>
      <c r="E11" s="33" t="n"/>
    </row>
    <row r="12" ht="20" customHeight="1">
      <c r="B12" s="23" t="inlineStr">
        <is>
          <t>ESPECIFICACIONES TÉCNICAS</t>
        </is>
      </c>
      <c r="C12" s="24" t="n"/>
      <c r="D12" s="24" t="n"/>
      <c r="E12" s="25" t="n"/>
    </row>
    <row r="13" ht="20.5" customHeight="1">
      <c r="B13" s="26" t="inlineStr">
        <is>
          <t>Tipo de producto</t>
        </is>
      </c>
      <c r="C13" s="27" t="inlineStr">
        <is>
          <t>Módulo adicional (add-on) a plan funerario</t>
        </is>
      </c>
      <c r="D13" s="28" t="n"/>
      <c r="E13" s="29" t="n"/>
    </row>
    <row r="14" ht="20.5" customHeight="1">
      <c r="B14" s="30" t="inlineStr">
        <is>
          <t>Modalidad de cremación</t>
        </is>
      </c>
      <c r="C14" s="31" t="inlineStr">
        <is>
          <t>Individual</t>
        </is>
      </c>
      <c r="D14" s="32" t="n"/>
      <c r="E14" s="33" t="n"/>
    </row>
    <row r="15" ht="20.5" customHeight="1">
      <c r="B15" s="26" t="inlineStr">
        <is>
          <t>Urna</t>
        </is>
      </c>
      <c r="C15" s="27" t="inlineStr">
        <is>
          <t>Cineraria, línea modular</t>
        </is>
      </c>
      <c r="D15" s="28" t="n"/>
      <c r="E15" s="29" t="n"/>
    </row>
    <row r="16" ht="20.5" customHeight="1">
      <c r="B16" s="30" t="inlineStr">
        <is>
          <t>Gestión legal</t>
        </is>
      </c>
      <c r="C16" s="31" t="inlineStr">
        <is>
          <t>Trámites básicos incluidos</t>
        </is>
      </c>
      <c r="D16" s="32" t="n"/>
      <c r="E16" s="33" t="n"/>
    </row>
    <row r="17" ht="20.5" customHeight="1">
      <c r="B17" s="26" t="inlineStr">
        <is>
          <t>Columbario</t>
        </is>
      </c>
      <c r="C17" s="27" t="inlineStr">
        <is>
          <t>Alquiler temporal · 12 meses incluido en Hogar de las Memorias</t>
        </is>
      </c>
      <c r="D17" s="28" t="n"/>
      <c r="E17" s="29" t="n"/>
    </row>
    <row r="18" ht="78.5" customHeight="1">
      <c r="B18" s="30" t="inlineStr">
        <is>
          <t>Servicios incluidos</t>
        </is>
      </c>
      <c r="C18" s="31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8" s="32" t="n"/>
      <c r="E18" s="33" t="n"/>
    </row>
    <row r="19" ht="20" customHeight="1">
      <c r="B19" s="23" t="inlineStr">
        <is>
          <t>PRECIO &amp; CONDICIONES DE PAGO</t>
        </is>
      </c>
      <c r="C19" s="24" t="n"/>
      <c r="D19" s="24" t="n"/>
      <c r="E19" s="25" t="n"/>
    </row>
    <row r="20" ht="26.5" customHeight="1">
      <c r="B20" s="26" t="inlineStr">
        <is>
          <t>Precio sugerido</t>
        </is>
      </c>
      <c r="C20" s="34" t="inlineStr">
        <is>
          <t>US$ 1.000</t>
        </is>
      </c>
      <c r="D20" s="28" t="n"/>
      <c r="E20" s="29" t="n"/>
    </row>
    <row r="21" ht="26.5" customHeight="1">
      <c r="B21" s="30" t="inlineStr">
        <is>
          <t>Precio lanzamiento (−20%)</t>
        </is>
      </c>
      <c r="C21" s="35" t="inlineStr">
        <is>
          <t>US$ 800</t>
        </is>
      </c>
      <c r="D21" s="32" t="n"/>
      <c r="E21" s="33" t="n"/>
    </row>
    <row r="22" ht="20.5" customHeight="1">
      <c r="B22" s="30" t="inlineStr">
        <is>
          <t>Base de precio</t>
        </is>
      </c>
      <c r="C22" s="31" t="inlineStr">
        <is>
          <t>Por módulo individual</t>
        </is>
      </c>
      <c r="D22" s="32" t="n"/>
      <c r="E22" s="33" t="n"/>
    </row>
    <row r="23" ht="35" customHeight="1">
      <c r="B23" s="26" t="inlineStr">
        <is>
          <t>Condiciones</t>
        </is>
      </c>
      <c r="C23" s="27" t="inlineStr">
        <is>
          <t>Pago en hasta 120 meses, con intereses.
Debe estar pagado en su totalidad para el uso de la cremación y el columbario</t>
        </is>
      </c>
      <c r="D23" s="28" t="n"/>
      <c r="E23" s="29" t="n"/>
    </row>
    <row r="24" ht="20" customHeight="1">
      <c r="B24" s="23" t="inlineStr">
        <is>
          <t>PERFIL DEL COMPRADOR</t>
        </is>
      </c>
      <c r="C24" s="24" t="n"/>
      <c r="D24" s="24" t="n"/>
      <c r="E24" s="25" t="n"/>
    </row>
    <row r="25" ht="35" customHeight="1">
      <c r="B25" s="36" t="inlineStr">
        <is>
          <t>Cliente objetivo</t>
        </is>
      </c>
      <c r="C25" s="37" t="inlineStr">
        <is>
          <t>Afiliados actuales y nuevos que desean incorporar la cremación a su plan con una cuota mensual mínima.</t>
        </is>
      </c>
      <c r="D25" s="38" t="n"/>
      <c r="E25" s="39" t="n"/>
    </row>
    <row r="28" ht="30" customHeight="1">
      <c r="B28" s="17" t="inlineStr">
        <is>
          <t>JARDÍN DE CENIZAS · INDIVIDUAL</t>
        </is>
      </c>
      <c r="C28" s="18" t="n"/>
      <c r="D28" s="18" t="n"/>
      <c r="E28" s="19" t="n"/>
    </row>
    <row r="29" ht="20" customHeight="1">
      <c r="B29" s="20" t="inlineStr">
        <is>
          <t>Jardines de la Memoria · Jardín 1  ·  Destino final · Inhumación individual</t>
        </is>
      </c>
      <c r="C29" s="21" t="n"/>
      <c r="D29" s="21" t="n"/>
      <c r="E29" s="22" t="n"/>
    </row>
    <row r="30" ht="20" customHeight="1">
      <c r="B30" s="23" t="inlineStr">
        <is>
          <t>VISIÓN GENERAL</t>
        </is>
      </c>
      <c r="C30" s="24" t="n"/>
      <c r="D30" s="24" t="n"/>
      <c r="E30" s="25" t="n"/>
    </row>
    <row r="31" ht="49.5" customHeight="1">
      <c r="B31" s="26" t="inlineStr">
        <is>
          <t>Concepto</t>
        </is>
      </c>
      <c r="C31" s="27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31" s="28" t="n"/>
      <c r="E31" s="29" t="n"/>
    </row>
    <row r="32" ht="20.5" customHeight="1">
      <c r="B32" s="30" t="inlineStr">
        <is>
          <t>Capacidad / Cobertura</t>
        </is>
      </c>
      <c r="C32" s="31" t="inlineStr">
        <is>
          <t>Individual (1 urna).</t>
        </is>
      </c>
      <c r="D32" s="32" t="n"/>
      <c r="E32" s="33" t="n"/>
    </row>
    <row r="33" ht="20" customHeight="1">
      <c r="B33" s="23" t="inlineStr">
        <is>
          <t>ESPECIFICACIONES TÉCNICAS</t>
        </is>
      </c>
      <c r="C33" s="24" t="n"/>
      <c r="D33" s="24" t="n"/>
      <c r="E33" s="25" t="n"/>
    </row>
    <row r="34" ht="20.5" customHeight="1">
      <c r="B34" s="26" t="inlineStr">
        <is>
          <t>Ambiente</t>
        </is>
      </c>
      <c r="C34" s="27" t="inlineStr">
        <is>
          <t>Jardín 1</t>
        </is>
      </c>
      <c r="D34" s="28" t="n"/>
      <c r="E34" s="29" t="n"/>
    </row>
    <row r="35" ht="20.5" customHeight="1">
      <c r="B35" s="30" t="inlineStr">
        <is>
          <t>Contenedor</t>
        </is>
      </c>
      <c r="C35" s="31" t="inlineStr">
        <is>
          <t>Ø 32 cm × 40 cm de altura; enterrado dejando 20 cm a la vista</t>
        </is>
      </c>
      <c r="D35" s="32" t="n"/>
      <c r="E35" s="33" t="n"/>
    </row>
    <row r="36" ht="20.5" customHeight="1">
      <c r="B36" s="26" t="inlineStr">
        <is>
          <t>Identificación</t>
        </is>
      </c>
      <c r="C36" s="27" t="inlineStr">
        <is>
          <t>Tapa de granito con la información del difunto</t>
        </is>
      </c>
      <c r="D36" s="28" t="n"/>
      <c r="E36" s="29" t="n"/>
    </row>
    <row r="37" ht="20.5" customHeight="1">
      <c r="B37" s="30" t="inlineStr">
        <is>
          <t>Paisajismo</t>
        </is>
      </c>
      <c r="C37" s="31" t="inlineStr">
        <is>
          <t>Plantas de sombra de diferentes alturas y texturas</t>
        </is>
      </c>
      <c r="D37" s="32" t="n"/>
      <c r="E37" s="33" t="n"/>
    </row>
    <row r="38" ht="20.5" customHeight="1">
      <c r="B38" s="26" t="inlineStr">
        <is>
          <t>Acceso</t>
        </is>
      </c>
      <c r="C38" s="27" t="inlineStr">
        <is>
          <t>Camino de 1,2 m en gravilla con bordillo prefabricado</t>
        </is>
      </c>
      <c r="D38" s="28" t="n"/>
      <c r="E38" s="29" t="n"/>
    </row>
    <row r="39" ht="20.5" customHeight="1">
      <c r="B39" s="30" t="inlineStr">
        <is>
          <t>Permanencia</t>
        </is>
      </c>
      <c r="C39" s="31" t="inlineStr">
        <is>
          <t>30 años desde la primera inhumación, renovable por igual período</t>
        </is>
      </c>
      <c r="D39" s="32" t="n"/>
      <c r="E39" s="33" t="n"/>
    </row>
    <row r="40" ht="20.5" customHeight="1">
      <c r="B40" s="26" t="inlineStr">
        <is>
          <t>Mantenimiento</t>
        </is>
      </c>
      <c r="C40" s="27" t="inlineStr">
        <is>
          <t>US$ 15 anual</t>
        </is>
      </c>
      <c r="D40" s="28" t="n"/>
      <c r="E40" s="29" t="n"/>
    </row>
    <row r="41" ht="93" customHeight="1">
      <c r="B41" s="30" t="inlineStr">
        <is>
          <t>Servicios incluidos</t>
        </is>
      </c>
      <c r="C41" s="31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41" s="32" t="n"/>
      <c r="E41" s="33" t="n"/>
    </row>
    <row r="42" ht="20" customHeight="1">
      <c r="B42" s="23" t="inlineStr">
        <is>
          <t>PRECIO &amp; CONDICIONES DE PAGO</t>
        </is>
      </c>
      <c r="C42" s="24" t="n"/>
      <c r="D42" s="24" t="n"/>
      <c r="E42" s="25" t="n"/>
    </row>
    <row r="43" ht="26.5" customHeight="1">
      <c r="B43" s="26" t="inlineStr">
        <is>
          <t>Precio sugerido</t>
        </is>
      </c>
      <c r="C43" s="34" t="inlineStr">
        <is>
          <t>US$ 600</t>
        </is>
      </c>
      <c r="D43" s="28" t="n"/>
      <c r="E43" s="29" t="n"/>
    </row>
    <row r="44" ht="26.5" customHeight="1">
      <c r="B44" s="30" t="inlineStr">
        <is>
          <t>Precio lanzamiento (−20%)</t>
        </is>
      </c>
      <c r="C44" s="35" t="inlineStr">
        <is>
          <t>US$ 480</t>
        </is>
      </c>
      <c r="D44" s="32" t="n"/>
      <c r="E44" s="33" t="n"/>
    </row>
    <row r="45" ht="20.5" customHeight="1">
      <c r="B45" s="30" t="inlineStr">
        <is>
          <t>Base de precio</t>
        </is>
      </c>
      <c r="C45" s="31" t="inlineStr">
        <is>
          <t>Por espacio individual · mantenimiento US$ 15/año</t>
        </is>
      </c>
      <c r="D45" s="32" t="n"/>
      <c r="E45" s="33" t="n"/>
    </row>
    <row r="46" ht="35" customHeight="1">
      <c r="B46" s="26" t="inlineStr">
        <is>
          <t>Condiciones</t>
        </is>
      </c>
      <c r="C46" s="27" t="inlineStr">
        <is>
          <t>Pago único o financiado según política comercial vigente. Cuota de mantenimiento: US$ 15 anual.</t>
        </is>
      </c>
      <c r="D46" s="28" t="n"/>
      <c r="E46" s="29" t="n"/>
    </row>
    <row r="47" ht="20" customHeight="1">
      <c r="B47" s="23" t="inlineStr">
        <is>
          <t>PERFIL DEL COMPRADOR</t>
        </is>
      </c>
      <c r="C47" s="24" t="n"/>
      <c r="D47" s="24" t="n"/>
      <c r="E47" s="25" t="n"/>
    </row>
    <row r="48" ht="35" customHeight="1">
      <c r="B48" s="36" t="inlineStr">
        <is>
          <t>Cliente objetivo</t>
        </is>
      </c>
      <c r="C48" s="37" t="inlineStr">
        <is>
          <t>Familias que desean un lugar propio para visitar y rendir homenaje, con una inversión moderada.</t>
        </is>
      </c>
      <c r="D48" s="38" t="n"/>
      <c r="E48" s="39" t="n"/>
    </row>
    <row r="51" ht="30" customHeight="1">
      <c r="B51" s="17" t="inlineStr">
        <is>
          <t>JARDÍN DE CENIZAS · FAMILIAR</t>
        </is>
      </c>
      <c r="C51" s="18" t="n"/>
      <c r="D51" s="18" t="n"/>
      <c r="E51" s="19" t="n"/>
    </row>
    <row r="52" ht="20" customHeight="1">
      <c r="B52" s="20" t="inlineStr">
        <is>
          <t>Jardines de la Memoria · Jardín 1  ·  Destino final · Inhumación familiar</t>
        </is>
      </c>
      <c r="C52" s="21" t="n"/>
      <c r="D52" s="21" t="n"/>
      <c r="E52" s="22" t="n"/>
    </row>
    <row r="53" ht="20" customHeight="1">
      <c r="B53" s="23" t="inlineStr">
        <is>
          <t>VISIÓN GENERAL</t>
        </is>
      </c>
      <c r="C53" s="24" t="n"/>
      <c r="D53" s="24" t="n"/>
      <c r="E53" s="25" t="n"/>
    </row>
    <row r="54" ht="49.5" customHeight="1">
      <c r="B54" s="26" t="inlineStr">
        <is>
          <t>Concepto</t>
        </is>
      </c>
      <c r="C54" s="27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4" s="28" t="n"/>
      <c r="E54" s="29" t="n"/>
    </row>
    <row r="55" ht="20.5" customHeight="1">
      <c r="B55" s="30" t="inlineStr">
        <is>
          <t>Capacidad / Cobertura</t>
        </is>
      </c>
      <c r="C55" s="31" t="inlineStr">
        <is>
          <t>Hasta 4 espacios (familiar).</t>
        </is>
      </c>
      <c r="D55" s="32" t="n"/>
      <c r="E55" s="33" t="n"/>
    </row>
    <row r="56" ht="20" customHeight="1">
      <c r="B56" s="23" t="inlineStr">
        <is>
          <t>ESPECIFICACIONES TÉCNICAS</t>
        </is>
      </c>
      <c r="C56" s="24" t="n"/>
      <c r="D56" s="24" t="n"/>
      <c r="E56" s="25" t="n"/>
    </row>
    <row r="57" ht="20.5" customHeight="1">
      <c r="B57" s="26" t="inlineStr">
        <is>
          <t>Ambiente</t>
        </is>
      </c>
      <c r="C57" s="27" t="inlineStr">
        <is>
          <t>Jardín 1</t>
        </is>
      </c>
      <c r="D57" s="28" t="n"/>
      <c r="E57" s="29" t="n"/>
    </row>
    <row r="58" ht="20.5" customHeight="1">
      <c r="B58" s="30" t="inlineStr">
        <is>
          <t>Capacidad</t>
        </is>
      </c>
      <c r="C58" s="31" t="inlineStr">
        <is>
          <t>4 contenedores agrupados en losa</t>
        </is>
      </c>
      <c r="D58" s="32" t="n"/>
      <c r="E58" s="33" t="n"/>
    </row>
    <row r="59" ht="20.5" customHeight="1">
      <c r="B59" s="26" t="inlineStr">
        <is>
          <t>Identificación</t>
        </is>
      </c>
      <c r="C59" s="27" t="inlineStr">
        <is>
          <t>Tapa de granito por espacio, con la información del difunto</t>
        </is>
      </c>
      <c r="D59" s="28" t="n"/>
      <c r="E59" s="29" t="n"/>
    </row>
    <row r="60" ht="20.5" customHeight="1">
      <c r="B60" s="30" t="inlineStr">
        <is>
          <t>Permanencia</t>
        </is>
      </c>
      <c r="C60" s="31" t="inlineStr">
        <is>
          <t>30 años desde la primera inhumación, renovable por igual período</t>
        </is>
      </c>
      <c r="D60" s="32" t="n"/>
      <c r="E60" s="33" t="n"/>
    </row>
    <row r="61" ht="20.5" customHeight="1">
      <c r="B61" s="26" t="inlineStr">
        <is>
          <t>Acceso</t>
        </is>
      </c>
      <c r="C61" s="27" t="inlineStr">
        <is>
          <t>Camino de 1,2 m en gravilla con bordillo prefabricado</t>
        </is>
      </c>
      <c r="D61" s="28" t="n"/>
      <c r="E61" s="29" t="n"/>
    </row>
    <row r="62" ht="20.5" customHeight="1">
      <c r="B62" s="30" t="inlineStr">
        <is>
          <t>Mantenimiento</t>
        </is>
      </c>
      <c r="C62" s="31" t="inlineStr">
        <is>
          <t>US$ 24 anual</t>
        </is>
      </c>
      <c r="D62" s="32" t="n"/>
      <c r="E62" s="33" t="n"/>
    </row>
    <row r="63" ht="64" customHeight="1">
      <c r="B63" s="26" t="inlineStr">
        <is>
          <t>Servicios incluidos</t>
        </is>
      </c>
      <c r="C63" s="27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3" s="28" t="n"/>
      <c r="E63" s="29" t="n"/>
    </row>
    <row r="64" ht="20" customHeight="1">
      <c r="B64" s="23" t="inlineStr">
        <is>
          <t>PRECIO &amp; CONDICIONES DE PAGO</t>
        </is>
      </c>
      <c r="C64" s="24" t="n"/>
      <c r="D64" s="24" t="n"/>
      <c r="E64" s="25" t="n"/>
    </row>
    <row r="65" ht="26.5" customHeight="1">
      <c r="B65" s="26" t="inlineStr">
        <is>
          <t>Precio sugerido</t>
        </is>
      </c>
      <c r="C65" s="34" t="inlineStr">
        <is>
          <t>US$ 2.000</t>
        </is>
      </c>
      <c r="D65" s="28" t="n"/>
      <c r="E65" s="29" t="n"/>
    </row>
    <row r="66" ht="26.5" customHeight="1">
      <c r="B66" s="30" t="inlineStr">
        <is>
          <t>Precio lanzamiento (−20%)</t>
        </is>
      </c>
      <c r="C66" s="35" t="inlineStr">
        <is>
          <t>US$ 1.600</t>
        </is>
      </c>
      <c r="D66" s="32" t="n"/>
      <c r="E66" s="33" t="n"/>
    </row>
    <row r="67" ht="20.5" customHeight="1">
      <c r="B67" s="30" t="inlineStr">
        <is>
          <t>Base de precio</t>
        </is>
      </c>
      <c r="C67" s="31" t="inlineStr">
        <is>
          <t>Por parcela familiar · hasta 4 espacios · mantenimiento US$ 24/año</t>
        </is>
      </c>
      <c r="D67" s="32" t="n"/>
      <c r="E67" s="33" t="n"/>
    </row>
    <row r="68" ht="35" customHeight="1">
      <c r="B68" s="26" t="inlineStr">
        <is>
          <t>Condiciones</t>
        </is>
      </c>
      <c r="C68" s="27" t="inlineStr">
        <is>
          <t>Pago único o financiado según política comercial vigente. Cuota de mantenimiento: US$ 24 anual.</t>
        </is>
      </c>
      <c r="D68" s="28" t="n"/>
      <c r="E68" s="29" t="n"/>
    </row>
    <row r="69" ht="20" customHeight="1">
      <c r="B69" s="23" t="inlineStr">
        <is>
          <t>PERFIL DEL COMPRADOR</t>
        </is>
      </c>
      <c r="C69" s="24" t="n"/>
      <c r="D69" s="24" t="n"/>
      <c r="E69" s="25" t="n"/>
    </row>
    <row r="70" ht="20.5" customHeight="1">
      <c r="B70" s="36" t="inlineStr">
        <is>
          <t>Cliente objetivo</t>
        </is>
      </c>
      <c r="C70" s="37" t="inlineStr">
        <is>
          <t>Familias que buscan un espacio propio para varias generaciones.</t>
        </is>
      </c>
      <c r="D70" s="38" t="n"/>
      <c r="E70" s="39" t="n"/>
    </row>
    <row r="73" ht="30" customHeight="1">
      <c r="B73" s="17" t="inlineStr">
        <is>
          <t>JARDÍN DE CENIZAS · ECOLÓGICO</t>
        </is>
      </c>
      <c r="C73" s="18" t="n"/>
      <c r="D73" s="18" t="n"/>
      <c r="E73" s="19" t="n"/>
    </row>
    <row r="74" ht="20" customHeight="1">
      <c r="B74" s="20" t="inlineStr">
        <is>
          <t>Jardines de la Memoria · Jardín 2  ·  Destino final · Inhumación ecológica</t>
        </is>
      </c>
      <c r="C74" s="21" t="n"/>
      <c r="D74" s="21" t="n"/>
      <c r="E74" s="22" t="n"/>
    </row>
    <row r="75" ht="20" customHeight="1">
      <c r="B75" s="23" t="inlineStr">
        <is>
          <t>VISIÓN GENERAL</t>
        </is>
      </c>
      <c r="C75" s="24" t="n"/>
      <c r="D75" s="24" t="n"/>
      <c r="E75" s="25" t="n"/>
    </row>
    <row r="76" ht="49.5" customHeight="1">
      <c r="B76" s="26" t="inlineStr">
        <is>
          <t>Concepto</t>
        </is>
      </c>
      <c r="C76" s="27" t="inlineStr">
        <is>
          <t>La urna biodegradable se entierra directamente en el suelo, se cubre con tierra y se descompone integrándose a la naturaleza. Jardín con agua corriente y área de esparcimiento de cenizas.</t>
        </is>
      </c>
      <c r="D76" s="28" t="n"/>
      <c r="E76" s="29" t="n"/>
    </row>
    <row r="77" ht="20.5" customHeight="1">
      <c r="B77" s="30" t="inlineStr">
        <is>
          <t>Capacidad / Cobertura</t>
        </is>
      </c>
      <c r="C77" s="31" t="inlineStr">
        <is>
          <t>Individual (1 urna).</t>
        </is>
      </c>
      <c r="D77" s="32" t="n"/>
      <c r="E77" s="33" t="n"/>
    </row>
    <row r="78" ht="20" customHeight="1">
      <c r="B78" s="23" t="inlineStr">
        <is>
          <t>ESPECIFICACIONES TÉCNICAS</t>
        </is>
      </c>
      <c r="C78" s="24" t="n"/>
      <c r="D78" s="24" t="n"/>
      <c r="E78" s="25" t="n"/>
    </row>
    <row r="79" ht="20.5" customHeight="1">
      <c r="B79" s="26" t="inlineStr">
        <is>
          <t>Ambientes</t>
        </is>
      </c>
      <c r="C79" s="27" t="inlineStr">
        <is>
          <t>Jardín 2 · Ecológico o Bosque de las Orquídeas</t>
        </is>
      </c>
      <c r="D79" s="28" t="n"/>
      <c r="E79" s="29" t="n"/>
    </row>
    <row r="80" ht="20.5" customHeight="1">
      <c r="B80" s="30" t="inlineStr">
        <is>
          <t>Espacio por urna</t>
        </is>
      </c>
      <c r="C80" s="31" t="inlineStr">
        <is>
          <t>30 × 30 cm, 40 cm de profundidad</t>
        </is>
      </c>
      <c r="D80" s="32" t="n"/>
      <c r="E80" s="33" t="n"/>
    </row>
    <row r="81" ht="20.5" customHeight="1">
      <c r="B81" s="26" t="inlineStr">
        <is>
          <t>Urna</t>
        </is>
      </c>
      <c r="C81" s="27" t="inlineStr">
        <is>
          <t>Biodegradable; se integra al suelo</t>
        </is>
      </c>
      <c r="D81" s="28" t="n"/>
      <c r="E81" s="29" t="n"/>
    </row>
    <row r="82" ht="35" customHeight="1">
      <c r="B82" s="30" t="inlineStr">
        <is>
          <t>Identificación (Jardín 2)</t>
        </is>
      </c>
      <c r="C82" s="31" t="inlineStr">
        <is>
          <t>Placa de madera de 20 cm fijada a una varilla metálica, en posición vertical y sin contacto con el suelo</t>
        </is>
      </c>
      <c r="D82" s="32" t="n"/>
      <c r="E82" s="33" t="n"/>
    </row>
    <row r="83" ht="20.5" customHeight="1">
      <c r="B83" s="26" t="inlineStr">
        <is>
          <t>Identificación (Bosque)</t>
        </is>
      </c>
      <c r="C83" s="27" t="inlineStr">
        <is>
          <t>Placa de mármol de 20 × 15 cm</t>
        </is>
      </c>
      <c r="D83" s="28" t="n"/>
      <c r="E83" s="29" t="n"/>
    </row>
    <row r="84" ht="35" customHeight="1">
      <c r="B84" s="30" t="inlineStr">
        <is>
          <t>Permanencia</t>
        </is>
      </c>
      <c r="C84" s="31" t="inlineStr">
        <is>
          <t>3 años; luego el nombre pasa a una placa memorial en el monumento y el espacio se reutiliza</t>
        </is>
      </c>
      <c r="D84" s="32" t="n"/>
      <c r="E84" s="33" t="n"/>
    </row>
    <row r="85" ht="20.5" customHeight="1">
      <c r="B85" s="26" t="inlineStr">
        <is>
          <t>Placa memorial</t>
        </is>
      </c>
      <c r="C85" s="27" t="inlineStr">
        <is>
          <t>Incluida en el precio</t>
        </is>
      </c>
      <c r="D85" s="28" t="n"/>
      <c r="E85" s="29" t="n"/>
    </row>
    <row r="86" ht="20.5" customHeight="1">
      <c r="B86" s="30" t="inlineStr">
        <is>
          <t>Acceso</t>
        </is>
      </c>
      <c r="C86" s="31" t="inlineStr">
        <is>
          <t>Camino de 1,2 m en gravilla con bordillo prefabricado</t>
        </is>
      </c>
      <c r="D86" s="32" t="n"/>
      <c r="E86" s="33" t="n"/>
    </row>
    <row r="87" ht="78.5" customHeight="1">
      <c r="B87" s="26" t="inlineStr">
        <is>
          <t>Servicios incluidos</t>
        </is>
      </c>
      <c r="C87" s="27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7" s="28" t="n"/>
      <c r="E87" s="29" t="n"/>
    </row>
    <row r="88" ht="20" customHeight="1">
      <c r="B88" s="23" t="inlineStr">
        <is>
          <t>PRECIO &amp; CONDICIONES DE PAGO</t>
        </is>
      </c>
      <c r="C88" s="24" t="n"/>
      <c r="D88" s="24" t="n"/>
      <c r="E88" s="25" t="n"/>
    </row>
    <row r="89" ht="26.5" customHeight="1">
      <c r="B89" s="26" t="inlineStr">
        <is>
          <t>Precio sugerido</t>
        </is>
      </c>
      <c r="C89" s="34" t="inlineStr">
        <is>
          <t>US$ 750</t>
        </is>
      </c>
      <c r="D89" s="28" t="n"/>
      <c r="E89" s="29" t="n"/>
    </row>
    <row r="90" ht="26.5" customHeight="1">
      <c r="B90" s="30" t="inlineStr">
        <is>
          <t>Precio lanzamiento (−20%)</t>
        </is>
      </c>
      <c r="C90" s="35" t="inlineStr">
        <is>
          <t>US$ 600</t>
        </is>
      </c>
      <c r="D90" s="32" t="n"/>
      <c r="E90" s="33" t="n"/>
    </row>
    <row r="91" ht="20.5" customHeight="1">
      <c r="B91" s="30" t="inlineStr">
        <is>
          <t>Base de precio</t>
        </is>
      </c>
      <c r="C91" s="31" t="inlineStr">
        <is>
          <t>Por espacio individual · placa memorial incluida</t>
        </is>
      </c>
      <c r="D91" s="32" t="n"/>
      <c r="E91" s="33" t="n"/>
    </row>
    <row r="92" ht="35" customHeight="1">
      <c r="B92" s="26" t="inlineStr">
        <is>
          <t>Condiciones</t>
        </is>
      </c>
      <c r="C92" s="27" t="inlineStr">
        <is>
          <t>Pago único o financiado según política comercial vigente. Incluye la placa memorial en el monumento al término del plazo.</t>
        </is>
      </c>
      <c r="D92" s="28" t="n"/>
      <c r="E92" s="29" t="n"/>
    </row>
    <row r="93" ht="20" customHeight="1">
      <c r="B93" s="23" t="inlineStr">
        <is>
          <t>PERFIL DEL COMPRADOR</t>
        </is>
      </c>
      <c r="C93" s="24" t="n"/>
      <c r="D93" s="24" t="n"/>
      <c r="E93" s="25" t="n"/>
    </row>
    <row r="94" ht="35" customHeight="1">
      <c r="B94" s="36" t="inlineStr">
        <is>
          <t>Cliente objetivo</t>
        </is>
      </c>
      <c r="C94" s="37" t="inlineStr">
        <is>
          <t>Personas con conciencia ambiental que desean que sus cenizas vuelvan a la tierra, con un lugar identificado para visitar.</t>
        </is>
      </c>
      <c r="D94" s="38" t="n"/>
      <c r="E94" s="39" t="n"/>
    </row>
    <row r="97" ht="30" customHeight="1">
      <c r="B97" s="17" t="inlineStr">
        <is>
          <t>JARDÍN DE MASCOTAS</t>
        </is>
      </c>
      <c r="C97" s="18" t="n"/>
      <c r="D97" s="18" t="n"/>
      <c r="E97" s="19" t="n"/>
    </row>
    <row r="98" ht="20" customHeight="1">
      <c r="B98" s="20" t="inlineStr">
        <is>
          <t>Jardines de la Memoria · Mascotas  ·  Destino final · Inhumación ecológica</t>
        </is>
      </c>
      <c r="C98" s="21" t="n"/>
      <c r="D98" s="21" t="n"/>
      <c r="E98" s="22" t="n"/>
    </row>
    <row r="99" ht="20" customHeight="1">
      <c r="B99" s="23" t="inlineStr">
        <is>
          <t>VISIÓN GENERAL</t>
        </is>
      </c>
      <c r="C99" s="24" t="n"/>
      <c r="D99" s="24" t="n"/>
      <c r="E99" s="25" t="n"/>
    </row>
    <row r="100" ht="35" customHeight="1">
      <c r="B100" s="26" t="inlineStr">
        <is>
          <t>Concepto</t>
        </is>
      </c>
      <c r="C100" s="27" t="inlineStr">
        <is>
          <t>Jardín para inhumación ecológica de cenizas de mascotas: la urna biodegradable se entierra directamente en el suelo y se identifica con una placa de madera.</t>
        </is>
      </c>
      <c r="D100" s="28" t="n"/>
      <c r="E100" s="29" t="n"/>
    </row>
    <row r="101" ht="20.5" customHeight="1">
      <c r="B101" s="30" t="inlineStr">
        <is>
          <t>Capacidad / Cobertura</t>
        </is>
      </c>
      <c r="C101" s="31" t="inlineStr">
        <is>
          <t>Individual (una mascota por servicio).</t>
        </is>
      </c>
      <c r="D101" s="32" t="n"/>
      <c r="E101" s="33" t="n"/>
    </row>
    <row r="102" ht="20" customHeight="1">
      <c r="B102" s="23" t="inlineStr">
        <is>
          <t>ESPECIFICACIONES TÉCNICAS</t>
        </is>
      </c>
      <c r="C102" s="24" t="n"/>
      <c r="D102" s="24" t="n"/>
      <c r="E102" s="25" t="n"/>
    </row>
    <row r="103" ht="20.5" customHeight="1">
      <c r="B103" s="26" t="inlineStr">
        <is>
          <t>Tipo de producto</t>
        </is>
      </c>
      <c r="C103" s="27" t="inlineStr">
        <is>
          <t>Servicio de pago único</t>
        </is>
      </c>
      <c r="D103" s="28" t="n"/>
      <c r="E103" s="29" t="n"/>
    </row>
    <row r="104" ht="20.5" customHeight="1">
      <c r="B104" s="30" t="inlineStr">
        <is>
          <t>Espacio por urna</t>
        </is>
      </c>
      <c r="C104" s="31" t="inlineStr">
        <is>
          <t>15 × 20 cm o 15 × 30 cm, según el tamaño de la urna</t>
        </is>
      </c>
      <c r="D104" s="32" t="n"/>
      <c r="E104" s="33" t="n"/>
    </row>
    <row r="105" ht="35" customHeight="1">
      <c r="B105" s="26" t="inlineStr">
        <is>
          <t>Urna</t>
        </is>
      </c>
      <c r="C105" s="27" t="inlineStr">
        <is>
          <t>Biodegradable; se integra al suelo. Incluida solo en la opción con cremación (US$ 550); con solo espacio (US$ 400) se adquiere por separado</t>
        </is>
      </c>
      <c r="D105" s="28" t="n"/>
      <c r="E105" s="29" t="n"/>
    </row>
    <row r="106" ht="20.5" customHeight="1">
      <c r="B106" s="30" t="inlineStr">
        <is>
          <t>Identificación</t>
        </is>
      </c>
      <c r="C106" s="31" t="inlineStr">
        <is>
          <t>Placa de madera de 20 cm</t>
        </is>
      </c>
      <c r="D106" s="32" t="n"/>
      <c r="E106" s="33" t="n"/>
    </row>
    <row r="107" ht="20.5" customHeight="1">
      <c r="B107" s="26" t="inlineStr">
        <is>
          <t>Permanencia</t>
        </is>
      </c>
      <c r="C107" s="27" t="inlineStr">
        <is>
          <t>3 años; luego el espacio se reutiliza</t>
        </is>
      </c>
      <c r="D107" s="28" t="n"/>
      <c r="E107" s="29" t="n"/>
    </row>
    <row r="108" ht="20.5" customHeight="1">
      <c r="B108" s="30" t="inlineStr">
        <is>
          <t>Placa memorial</t>
        </is>
      </c>
      <c r="C108" s="31" t="inlineStr">
        <is>
          <t>Incluida en el precio; en el monumento al término del plazo</t>
        </is>
      </c>
      <c r="D108" s="32" t="n"/>
      <c r="E108" s="33" t="n"/>
    </row>
    <row r="109" ht="64" customHeight="1">
      <c r="B109" s="26" t="inlineStr">
        <is>
          <t>Servicios incluidos</t>
        </is>
      </c>
      <c r="C109" s="27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9" s="28" t="n"/>
      <c r="E109" s="29" t="n"/>
    </row>
    <row r="110" ht="20" customHeight="1">
      <c r="B110" s="23" t="inlineStr">
        <is>
          <t>PRECIO &amp; CONDICIONES DE PAGO</t>
        </is>
      </c>
      <c r="C110" s="24" t="n"/>
      <c r="D110" s="24" t="n"/>
      <c r="E110" s="25" t="n"/>
    </row>
    <row r="111" ht="26.5" customHeight="1">
      <c r="B111" s="26" t="inlineStr">
        <is>
          <t>Precio sugerido</t>
        </is>
      </c>
      <c r="C111" s="34" t="inlineStr">
        <is>
          <t>US$ 400 / US$ 550</t>
        </is>
      </c>
      <c r="D111" s="28" t="n"/>
      <c r="E111" s="29" t="n"/>
    </row>
    <row r="112" ht="26.5" customHeight="1">
      <c r="B112" s="30" t="inlineStr">
        <is>
          <t>Precio lanzamiento (−20%)</t>
        </is>
      </c>
      <c r="C112" s="35" t="inlineStr">
        <is>
          <t>US$ 320 / US$ 440</t>
        </is>
      </c>
      <c r="D112" s="32" t="n"/>
      <c r="E112" s="33" t="n"/>
    </row>
    <row r="113" ht="20.5" customHeight="1">
      <c r="B113" s="30" t="inlineStr">
        <is>
          <t>Base de precio</t>
        </is>
      </c>
      <c r="C113" s="31" t="inlineStr">
        <is>
          <t>US$ 400 solo espacio (urna aparte) · US$ 550 con cremación y urna</t>
        </is>
      </c>
      <c r="D113" s="32" t="n"/>
      <c r="E113" s="33" t="n"/>
    </row>
    <row r="114" ht="49.5" customHeight="1">
      <c r="B114" s="26" t="inlineStr">
        <is>
          <t>Condiciones</t>
        </is>
      </c>
      <c r="C114" s="27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4" s="28" t="n"/>
      <c r="E114" s="29" t="n"/>
    </row>
    <row r="115" ht="20" customHeight="1">
      <c r="B115" s="23" t="inlineStr">
        <is>
          <t>PERFIL DEL COMPRADOR</t>
        </is>
      </c>
      <c r="C115" s="24" t="n"/>
      <c r="D115" s="24" t="n"/>
      <c r="E115" s="25" t="n"/>
    </row>
    <row r="116" ht="20.5" customHeight="1">
      <c r="B116" s="36" t="inlineStr">
        <is>
          <t>Cliente objetivo</t>
        </is>
      </c>
      <c r="C116" s="37" t="inlineStr">
        <is>
          <t>Familias que consideran a su mascota parte del hogar y desean un cierre digno.</t>
        </is>
      </c>
      <c r="D116" s="38" t="n"/>
      <c r="E116" s="39" t="n"/>
    </row>
    <row r="119" ht="30" customHeight="1">
      <c r="B119" s="17" t="inlineStr">
        <is>
          <t>JARDÍN DE CENIZAS · CEREMONIAL</t>
        </is>
      </c>
      <c r="C119" s="18" t="n"/>
      <c r="D119" s="18" t="n"/>
      <c r="E119" s="19" t="n"/>
    </row>
    <row r="120" ht="20" customHeight="1">
      <c r="B120" s="20" t="inlineStr">
        <is>
          <t>Jardines de la Memoria · Jardín 3  ·  Destino final · Inhumación con ceremonia</t>
        </is>
      </c>
      <c r="C120" s="21" t="n"/>
      <c r="D120" s="21" t="n"/>
      <c r="E120" s="22" t="n"/>
    </row>
    <row r="121" ht="24" customHeight="1">
      <c r="B121" s="40" t="inlineStr">
        <is>
          <t>★  PRÓXIMO LANZAMIENTO · se lanzará en otro momento</t>
        </is>
      </c>
      <c r="C121" s="41" t="n"/>
      <c r="D121" s="41" t="n"/>
      <c r="E121" s="42" t="n"/>
    </row>
    <row r="122" ht="20" customHeight="1">
      <c r="B122" s="23" t="inlineStr">
        <is>
          <t>VISIÓN GENERAL</t>
        </is>
      </c>
      <c r="C122" s="24" t="n"/>
      <c r="D122" s="24" t="n"/>
      <c r="E122" s="25" t="n"/>
    </row>
    <row r="123" ht="35" customHeight="1">
      <c r="B123" s="26" t="inlineStr">
        <is>
          <t>Concepto</t>
        </is>
      </c>
      <c r="C123" s="27" t="inlineStr">
        <is>
          <t>Jardín para inhumación de urnas de cenizas con ceremonia de agua, con fuentes como elemento central del rito de despedida.</t>
        </is>
      </c>
      <c r="D123" s="28" t="n"/>
      <c r="E123" s="29" t="n"/>
    </row>
    <row r="124" ht="20.5" customHeight="1">
      <c r="B124" s="30" t="inlineStr">
        <is>
          <t>Capacidad / Cobertura</t>
        </is>
      </c>
      <c r="C124" s="31" t="inlineStr">
        <is>
          <t>A definir.</t>
        </is>
      </c>
      <c r="D124" s="32" t="n"/>
      <c r="E124" s="33" t="n"/>
    </row>
    <row r="125" ht="20" customHeight="1">
      <c r="B125" s="23" t="inlineStr">
        <is>
          <t>ESPECIFICACIONES TÉCNICAS</t>
        </is>
      </c>
      <c r="C125" s="24" t="n"/>
      <c r="D125" s="24" t="n"/>
      <c r="E125" s="25" t="n"/>
    </row>
    <row r="126" ht="20.5" customHeight="1">
      <c r="B126" s="26" t="inlineStr">
        <is>
          <t>Ambiente</t>
        </is>
      </c>
      <c r="C126" s="27" t="inlineStr">
        <is>
          <t>Jardín 3</t>
        </is>
      </c>
      <c r="D126" s="28" t="n"/>
      <c r="E126" s="29" t="n"/>
    </row>
    <row r="127" ht="20.5" customHeight="1">
      <c r="B127" s="30" t="inlineStr">
        <is>
          <t>Elemento central</t>
        </is>
      </c>
      <c r="C127" s="31" t="inlineStr">
        <is>
          <t>Fuente de agua para la ceremonia</t>
        </is>
      </c>
      <c r="D127" s="32" t="n"/>
      <c r="E127" s="33" t="n"/>
    </row>
    <row r="128" ht="20.5" customHeight="1">
      <c r="B128" s="26" t="inlineStr">
        <is>
          <t>Entorno</t>
        </is>
      </c>
      <c r="C128" s="27" t="inlineStr">
        <is>
          <t>Barrera visual que separa el jardín del crematorio</t>
        </is>
      </c>
      <c r="D128" s="28" t="n"/>
      <c r="E128" s="29" t="n"/>
    </row>
    <row r="129" ht="35" customHeight="1">
      <c r="B129" s="30" t="inlineStr">
        <is>
          <t>Servicios incluidos</t>
        </is>
      </c>
      <c r="C129" s="31" t="inlineStr">
        <is>
          <t>• Inhumación de urnas de cenizas
• Ceremonia con agua en fuente</t>
        </is>
      </c>
      <c r="D129" s="32" t="n"/>
      <c r="E129" s="33" t="n"/>
    </row>
    <row r="130" ht="20" customHeight="1">
      <c r="B130" s="23" t="inlineStr">
        <is>
          <t>PRECIO &amp; CONDICIONES DE PAGO</t>
        </is>
      </c>
      <c r="C130" s="24" t="n"/>
      <c r="D130" s="24" t="n"/>
      <c r="E130" s="25" t="n"/>
    </row>
    <row r="131" ht="26.5" customHeight="1">
      <c r="B131" s="26" t="inlineStr">
        <is>
          <t>Precio sugerido</t>
        </is>
      </c>
      <c r="C131" s="34" t="inlineStr">
        <is>
          <t>A definir</t>
        </is>
      </c>
      <c r="D131" s="28" t="n"/>
      <c r="E131" s="29" t="n"/>
    </row>
    <row r="132" ht="26.5" customHeight="1">
      <c r="B132" s="30" t="inlineStr">
        <is>
          <t>Precio lanzamiento (−20%)</t>
        </is>
      </c>
      <c r="C132" s="35" t="inlineStr">
        <is>
          <t>A definir</t>
        </is>
      </c>
      <c r="D132" s="32" t="n"/>
      <c r="E132" s="33" t="n"/>
    </row>
    <row r="133" ht="20.5" customHeight="1">
      <c r="B133" s="30" t="inlineStr">
        <is>
          <t>Base de precio</t>
        </is>
      </c>
      <c r="C133" s="31" t="inlineStr">
        <is>
          <t>Producto en definición</t>
        </is>
      </c>
      <c r="D133" s="32" t="n"/>
      <c r="E133" s="33" t="n"/>
    </row>
    <row r="134" ht="20.5" customHeight="1">
      <c r="B134" s="26" t="inlineStr">
        <is>
          <t>Condiciones</t>
        </is>
      </c>
      <c r="C134" s="27" t="inlineStr">
        <is>
          <t>A definir.</t>
        </is>
      </c>
      <c r="D134" s="28" t="n"/>
      <c r="E134" s="29" t="n"/>
    </row>
    <row r="135" ht="20" customHeight="1">
      <c r="B135" s="23" t="inlineStr">
        <is>
          <t>PERFIL DEL COMPRADOR</t>
        </is>
      </c>
      <c r="C135" s="24" t="n"/>
      <c r="D135" s="24" t="n"/>
      <c r="E135" s="25" t="n"/>
    </row>
    <row r="136" ht="35" customHeight="1">
      <c r="B136" s="36" t="inlineStr">
        <is>
          <t>Cliente objetivo</t>
        </is>
      </c>
      <c r="C136" s="37" t="inlineStr">
        <is>
          <t>Familias que valoran un rito de despedida simbólico y un entorno contemplativo.</t>
        </is>
      </c>
      <c r="D136" s="38" t="n"/>
      <c r="E136" s="39" t="n"/>
    </row>
    <row r="139" ht="30" customHeight="1">
      <c r="B139" s="15" t="inlineStr">
        <is>
          <t>PORTAFOLIO EXISTENTE · COLUMBARIOS</t>
        </is>
      </c>
    </row>
    <row r="140" ht="20" customHeight="1">
      <c r="B140" s="16" t="inlineStr">
        <is>
          <t>Columbarios y cremación · descuento −15% en Finados y noviembre</t>
        </is>
      </c>
    </row>
    <row r="142" ht="30" customHeight="1">
      <c r="B142" s="17" t="inlineStr">
        <is>
          <t>COLUMBARIO SUPREMO PLUS</t>
        </is>
      </c>
      <c r="C142" s="18" t="n"/>
      <c r="D142" s="18" t="n"/>
      <c r="E142" s="19" t="n"/>
    </row>
    <row r="143" ht="20" customHeight="1">
      <c r="B143" s="20" t="inlineStr">
        <is>
          <t>El Hogar de las Memorias  ·  Servicio funerario + cremación + columbario</t>
        </is>
      </c>
      <c r="C143" s="21" t="n"/>
      <c r="D143" s="21" t="n"/>
      <c r="E143" s="22" t="n"/>
    </row>
    <row r="144" ht="20" customHeight="1">
      <c r="B144" s="23" t="inlineStr">
        <is>
          <t>VISIÓN GENERAL</t>
        </is>
      </c>
      <c r="C144" s="24" t="n"/>
      <c r="D144" s="24" t="n"/>
      <c r="E144" s="25" t="n"/>
    </row>
    <row r="145" ht="49.5" customHeight="1">
      <c r="B145" s="26" t="inlineStr">
        <is>
          <t>Concepto</t>
        </is>
      </c>
      <c r="C145" s="27" t="inlineStr">
        <is>
          <t>Experiencia integral que combina servicio funerario y cremación, con un espacio conmemorativo para resguardar hasta dos urnas cinerarias en un entorno de respeto, acompañamiento y serenidad.</t>
        </is>
      </c>
      <c r="D145" s="28" t="n"/>
      <c r="E145" s="29" t="n"/>
    </row>
    <row r="146" ht="20.5" customHeight="1">
      <c r="B146" s="30" t="inlineStr">
        <is>
          <t>Capacidad / Cobertura</t>
        </is>
      </c>
      <c r="C146" s="31" t="inlineStr">
        <is>
          <t>Hasta 2 urnas cinerarias (incluye 2 cremaciones).</t>
        </is>
      </c>
      <c r="D146" s="32" t="n"/>
      <c r="E146" s="33" t="n"/>
    </row>
    <row r="147" ht="20" customHeight="1">
      <c r="B147" s="23" t="inlineStr">
        <is>
          <t>ESPECIFICACIONES TÉCNICAS</t>
        </is>
      </c>
      <c r="C147" s="24" t="n"/>
      <c r="D147" s="24" t="n"/>
      <c r="E147" s="25" t="n"/>
    </row>
    <row r="148" ht="20.5" customHeight="1">
      <c r="B148" s="26" t="inlineStr">
        <is>
          <t>Material</t>
        </is>
      </c>
      <c r="C148" s="27" t="inlineStr">
        <is>
          <t>Cristal o mármol</t>
        </is>
      </c>
      <c r="D148" s="28" t="n"/>
      <c r="E148" s="29" t="n"/>
    </row>
    <row r="149" ht="20.5" customHeight="1">
      <c r="B149" s="30" t="inlineStr">
        <is>
          <t>Columbario</t>
        </is>
      </c>
      <c r="C149" s="31" t="inlineStr">
        <is>
          <t>Estándar, espacio permanente para hasta 2 urnas</t>
        </is>
      </c>
      <c r="D149" s="32" t="n"/>
      <c r="E149" s="33" t="n"/>
    </row>
    <row r="150" ht="20.5" customHeight="1">
      <c r="B150" s="26" t="inlineStr">
        <is>
          <t>Cremación</t>
        </is>
      </c>
      <c r="C150" s="27" t="inlineStr">
        <is>
          <t>2 cremaciones en crematorio propio, con certificado</t>
        </is>
      </c>
      <c r="D150" s="28" t="n"/>
      <c r="E150" s="29" t="n"/>
    </row>
    <row r="151" ht="20.5" customHeight="1">
      <c r="B151" s="30" t="inlineStr">
        <is>
          <t>Preparación y resguardo</t>
        </is>
      </c>
      <c r="C151" s="31" t="inlineStr">
        <is>
          <t>Preparación química y custodia en laboratorio hasta por 5 días</t>
        </is>
      </c>
      <c r="D151" s="32" t="n"/>
      <c r="E151" s="33" t="n"/>
    </row>
    <row r="152" ht="35" customHeight="1">
      <c r="B152" s="26" t="inlineStr">
        <is>
          <t>Velación</t>
        </is>
      </c>
      <c r="C152" s="27" t="inlineStr">
        <is>
          <t>Sala de velación 24 horas · La Auxiliadora: Capilla Maquilishuat o Básica · Capillas Memoriales: Capilla Las Camelias o Básica</t>
        </is>
      </c>
      <c r="D152" s="28" t="n"/>
      <c r="E152" s="29" t="n"/>
    </row>
    <row r="153" ht="35" customHeight="1">
      <c r="B153" s="30" t="inlineStr">
        <is>
          <t>Ubicación</t>
        </is>
      </c>
      <c r="C153" s="31" t="inlineStr">
        <is>
          <t>Definida: se elige el nicho al contratar · A futuro: el nicho se asigna más adelante. El precio varía según fila y nivel.</t>
        </is>
      </c>
      <c r="D153" s="32" t="n"/>
      <c r="E153" s="33" t="n"/>
    </row>
    <row r="154" ht="122" customHeight="1">
      <c r="B154" s="26" t="inlineStr">
        <is>
          <t>Servicios incluidos</t>
        </is>
      </c>
      <c r="C154" s="27" t="inlineStr">
        <is>
          <t>• Columbario estándar de cristal o mármol para hasta 2 urnas
• Traslados durante todo el proceso funerario
• Preparación química y resguardo hasta por 5 días
• 2 cremaciones y 2 urnas cinerarias básicas
• Certificado de cremación y ceremonias privadas de colocación
• Sala de velación 24 h, ataúd ceremonial y carroza tradicional
• Asesoría en trámites, libro de condolencias y 50 tarjetas de agradecimiento
• Programa Vive (acompañamiento en el duelo) y café y agua ilimitados</t>
        </is>
      </c>
      <c r="D154" s="28" t="n"/>
      <c r="E154" s="29" t="n"/>
    </row>
    <row r="155" ht="20" customHeight="1">
      <c r="B155" s="23" t="inlineStr">
        <is>
          <t>PRECIO &amp; CONDICIONES DE PAGO</t>
        </is>
      </c>
      <c r="C155" s="24" t="n"/>
      <c r="D155" s="24" t="n"/>
      <c r="E155" s="25" t="n"/>
    </row>
    <row r="156" ht="41" customHeight="1">
      <c r="B156" s="26" t="inlineStr">
        <is>
          <t>Precio</t>
        </is>
      </c>
      <c r="C156" s="34" t="inlineStr">
        <is>
          <t>Ubicación definida: US$ 3.400 – US$ 3.900
Ubicación a futuro: US$ 2.700 – US$ 3.200</t>
        </is>
      </c>
      <c r="D156" s="28" t="n"/>
      <c r="E156" s="29" t="n"/>
    </row>
    <row r="157" ht="41" customHeight="1">
      <c r="B157" s="30" t="inlineStr">
        <is>
          <t>Precio Finados y noviembre (−15%)</t>
        </is>
      </c>
      <c r="C157" s="35" t="inlineStr">
        <is>
          <t>Ubicación definida: US$ 2.890 – US$ 3.315
Ubicación a futuro: US$ 2.295 – US$ 2.720</t>
        </is>
      </c>
      <c r="D157" s="32" t="n"/>
      <c r="E157" s="33" t="n"/>
    </row>
    <row r="158" ht="20.5" customHeight="1">
      <c r="B158" s="30" t="inlineStr">
        <is>
          <t>Base de precio</t>
        </is>
      </c>
      <c r="C158" s="31" t="inlineStr">
        <is>
          <t>Precio según fila y nivel del columbario</t>
        </is>
      </c>
      <c r="D158" s="32" t="n"/>
      <c r="E158" s="33" t="n"/>
    </row>
    <row r="159" ht="20.5" customHeight="1">
      <c r="B159" s="26" t="inlineStr">
        <is>
          <t>Condiciones</t>
        </is>
      </c>
      <c r="C159" s="27" t="inlineStr">
        <is>
          <t>Pago único o financiado hasta 120 meses, con intereses.</t>
        </is>
      </c>
      <c r="D159" s="28" t="n"/>
      <c r="E159" s="29" t="n"/>
    </row>
    <row r="160" ht="20" customHeight="1">
      <c r="B160" s="23" t="inlineStr">
        <is>
          <t>PERFIL DEL COMPRADOR</t>
        </is>
      </c>
      <c r="C160" s="24" t="n"/>
      <c r="D160" s="24" t="n"/>
      <c r="E160" s="25" t="n"/>
    </row>
    <row r="161" ht="35" customHeight="1">
      <c r="B161" s="36" t="inlineStr">
        <is>
          <t>Cliente objetivo</t>
        </is>
      </c>
      <c r="C161" s="37" t="inlineStr">
        <is>
          <t>Familias que quieren resolver en una sola compra el servicio funerario, la cremación y un lugar permanente para dos seres queridos.</t>
        </is>
      </c>
      <c r="D161" s="38" t="n"/>
      <c r="E161" s="39" t="n"/>
    </row>
    <row r="164" ht="30" customHeight="1">
      <c r="B164" s="17" t="inlineStr">
        <is>
          <t>COLUMBARIO MÁRMOL O CRISTAL</t>
        </is>
      </c>
      <c r="C164" s="18" t="n"/>
      <c r="D164" s="18" t="n"/>
      <c r="E164" s="19" t="n"/>
    </row>
    <row r="165" ht="20" customHeight="1">
      <c r="B165" s="20" t="inlineStr">
        <is>
          <t>El Hogar de las Memorias  ·  Destino final · Columbario</t>
        </is>
      </c>
      <c r="C165" s="21" t="n"/>
      <c r="D165" s="21" t="n"/>
      <c r="E165" s="22" t="n"/>
    </row>
    <row r="166" ht="20" customHeight="1">
      <c r="B166" s="23" t="inlineStr">
        <is>
          <t>VISIÓN GENERAL</t>
        </is>
      </c>
      <c r="C166" s="24" t="n"/>
      <c r="D166" s="24" t="n"/>
      <c r="E166" s="25" t="n"/>
    </row>
    <row r="167" ht="35" customHeight="1">
      <c r="B167" s="26" t="inlineStr">
        <is>
          <t>Concepto</t>
        </is>
      </c>
      <c r="C167" s="27" t="inlineStr">
        <is>
          <t>Espacio permanente, elegante y sereno en mármol o cristal para preservar el legado de quienes más ama la familia, con un diseño atemporal.</t>
        </is>
      </c>
      <c r="D167" s="28" t="n"/>
      <c r="E167" s="29" t="n"/>
    </row>
    <row r="168" ht="20.5" customHeight="1">
      <c r="B168" s="30" t="inlineStr">
        <is>
          <t>Capacidad / Cobertura</t>
        </is>
      </c>
      <c r="C168" s="31" t="inlineStr">
        <is>
          <t>Estándar: hasta 2 urnas.</t>
        </is>
      </c>
      <c r="D168" s="32" t="n"/>
      <c r="E168" s="33" t="n"/>
    </row>
    <row r="169" ht="20" customHeight="1">
      <c r="B169" s="23" t="inlineStr">
        <is>
          <t>ESPECIFICACIONES TÉCNICAS</t>
        </is>
      </c>
      <c r="C169" s="24" t="n"/>
      <c r="D169" s="24" t="n"/>
      <c r="E169" s="25" t="n"/>
    </row>
    <row r="170" ht="20.5" customHeight="1">
      <c r="B170" s="26" t="inlineStr">
        <is>
          <t>Material</t>
        </is>
      </c>
      <c r="C170" s="27" t="inlineStr">
        <is>
          <t>Mármol o cristal</t>
        </is>
      </c>
      <c r="D170" s="28" t="n"/>
      <c r="E170" s="29" t="n"/>
    </row>
    <row r="171" ht="20.5" customHeight="1">
      <c r="B171" s="30" t="inlineStr">
        <is>
          <t>Permanencia</t>
        </is>
      </c>
      <c r="C171" s="31" t="inlineStr">
        <is>
          <t>Permanente</t>
        </is>
      </c>
      <c r="D171" s="32" t="n"/>
      <c r="E171" s="33" t="n"/>
    </row>
    <row r="172" ht="35" customHeight="1">
      <c r="B172" s="26" t="inlineStr">
        <is>
          <t>Ubicación</t>
        </is>
      </c>
      <c r="C172" s="27" t="inlineStr">
        <is>
          <t>Definida: se elige el nicho al contratar · A futuro: el nicho se asigna más adelante. El precio varía según fila y nivel.</t>
        </is>
      </c>
      <c r="D172" s="28" t="n"/>
      <c r="E172" s="29" t="n"/>
    </row>
    <row r="173" ht="35" customHeight="1">
      <c r="B173" s="30" t="inlineStr">
        <is>
          <t>Servicios incluidos</t>
        </is>
      </c>
      <c r="C173" s="31" t="inlineStr">
        <is>
          <t>• Espacio permanente en columbario de mármol o cristal
• Ubicación definida o a futuro, según la opción contratada</t>
        </is>
      </c>
      <c r="D173" s="32" t="n"/>
      <c r="E173" s="33" t="n"/>
    </row>
    <row r="174" ht="20" customHeight="1">
      <c r="B174" s="23" t="inlineStr">
        <is>
          <t>PRECIO &amp; CONDICIONES DE PAGO</t>
        </is>
      </c>
      <c r="C174" s="24" t="n"/>
      <c r="D174" s="24" t="n"/>
      <c r="E174" s="25" t="n"/>
    </row>
    <row r="175" ht="41" customHeight="1">
      <c r="B175" s="26" t="inlineStr">
        <is>
          <t>Precio</t>
        </is>
      </c>
      <c r="C175" s="34" t="inlineStr">
        <is>
          <t>Ubicación definida: US$ 2.600
Ubicación a futuro: US$ 1.200 – US$ 1.900</t>
        </is>
      </c>
      <c r="D175" s="28" t="n"/>
      <c r="E175" s="29" t="n"/>
    </row>
    <row r="176" ht="41" customHeight="1">
      <c r="B176" s="30" t="inlineStr">
        <is>
          <t>Precio Finados y noviembre (−15%)</t>
        </is>
      </c>
      <c r="C176" s="35" t="inlineStr">
        <is>
          <t>Ubicación definida: US$ 2.210
Ubicación a futuro: US$ 1.020 – US$ 1.615</t>
        </is>
      </c>
      <c r="D176" s="32" t="n"/>
      <c r="E176" s="33" t="n"/>
    </row>
    <row r="177" ht="20.5" customHeight="1">
      <c r="B177" s="30" t="inlineStr">
        <is>
          <t>Base de precio</t>
        </is>
      </c>
      <c r="C177" s="31" t="inlineStr">
        <is>
          <t>Solo columbario · precio según fila y nivel</t>
        </is>
      </c>
      <c r="D177" s="32" t="n"/>
      <c r="E177" s="33" t="n"/>
    </row>
    <row r="178" ht="20.5" customHeight="1">
      <c r="B178" s="26" t="inlineStr">
        <is>
          <t>Condiciones</t>
        </is>
      </c>
      <c r="C178" s="27" t="inlineStr">
        <is>
          <t>Pago único o financiado hasta 120 meses, con intereses.</t>
        </is>
      </c>
      <c r="D178" s="28" t="n"/>
      <c r="E178" s="29" t="n"/>
    </row>
    <row r="179" ht="20" customHeight="1">
      <c r="B179" s="23" t="inlineStr">
        <is>
          <t>PERFIL DEL COMPRADOR</t>
        </is>
      </c>
      <c r="C179" s="24" t="n"/>
      <c r="D179" s="24" t="n"/>
      <c r="E179" s="25" t="n"/>
    </row>
    <row r="180" ht="35" customHeight="1">
      <c r="B180" s="36" t="inlineStr">
        <is>
          <t>Cliente objetivo</t>
        </is>
      </c>
      <c r="C180" s="37" t="inlineStr">
        <is>
          <t>Familias que buscan un lugar permanente y elegante para las cenizas, con la cremación ya resuelta o contratada aparte.</t>
        </is>
      </c>
      <c r="D180" s="38" t="n"/>
      <c r="E180" s="39" t="n"/>
    </row>
    <row r="183" ht="30" customHeight="1">
      <c r="B183" s="17" t="inlineStr">
        <is>
          <t>COLUMBARIO ÓNIX</t>
        </is>
      </c>
      <c r="C183" s="18" t="n"/>
      <c r="D183" s="18" t="n"/>
      <c r="E183" s="19" t="n"/>
    </row>
    <row r="184" ht="20" customHeight="1">
      <c r="B184" s="20" t="inlineStr">
        <is>
          <t>El Hogar de las Memorias  ·  Destino final · Columbario premium</t>
        </is>
      </c>
      <c r="C184" s="21" t="n"/>
      <c r="D184" s="21" t="n"/>
      <c r="E184" s="22" t="n"/>
    </row>
    <row r="185" ht="20" customHeight="1">
      <c r="B185" s="23" t="inlineStr">
        <is>
          <t>VISIÓN GENERAL</t>
        </is>
      </c>
      <c r="C185" s="24" t="n"/>
      <c r="D185" s="24" t="n"/>
      <c r="E185" s="25" t="n"/>
    </row>
    <row r="186" ht="49.5" customHeight="1">
      <c r="B186" s="26" t="inlineStr">
        <is>
          <t>Concepto</t>
        </is>
      </c>
      <c r="C186" s="27" t="inlineStr">
        <is>
          <t>Columbario de ónix que combina la exclusividad de una piedra natural con un diseño elegante; sus tonalidades cálidas y apariencia luminosa crean un espacio de paz, respeto y recuerdo perdurable.</t>
        </is>
      </c>
      <c r="D186" s="28" t="n"/>
      <c r="E186" s="29" t="n"/>
    </row>
    <row r="187" ht="20.5" customHeight="1">
      <c r="B187" s="30" t="inlineStr">
        <is>
          <t>Capacidad / Cobertura</t>
        </is>
      </c>
      <c r="C187" s="31" t="inlineStr">
        <is>
          <t>Estándar: hasta 2 urnas · Familiar: hasta 4 urnas.</t>
        </is>
      </c>
      <c r="D187" s="32" t="n"/>
      <c r="E187" s="33" t="n"/>
    </row>
    <row r="188" ht="20" customHeight="1">
      <c r="B188" s="23" t="inlineStr">
        <is>
          <t>ESPECIFICACIONES TÉCNICAS</t>
        </is>
      </c>
      <c r="C188" s="24" t="n"/>
      <c r="D188" s="24" t="n"/>
      <c r="E188" s="25" t="n"/>
    </row>
    <row r="189" ht="20.5" customHeight="1">
      <c r="B189" s="26" t="inlineStr">
        <is>
          <t>Material</t>
        </is>
      </c>
      <c r="C189" s="27" t="inlineStr">
        <is>
          <t>Ónix natural</t>
        </is>
      </c>
      <c r="D189" s="28" t="n"/>
      <c r="E189" s="29" t="n"/>
    </row>
    <row r="190" ht="20.5" customHeight="1">
      <c r="B190" s="30" t="inlineStr">
        <is>
          <t>Modalidades</t>
        </is>
      </c>
      <c r="C190" s="31" t="inlineStr">
        <is>
          <t>Estándar (2 urnas) y Familiar (4 urnas)</t>
        </is>
      </c>
      <c r="D190" s="32" t="n"/>
      <c r="E190" s="33" t="n"/>
    </row>
    <row r="191" ht="20.5" customHeight="1">
      <c r="B191" s="26" t="inlineStr">
        <is>
          <t>Permanencia</t>
        </is>
      </c>
      <c r="C191" s="27" t="inlineStr">
        <is>
          <t>Permanente</t>
        </is>
      </c>
      <c r="D191" s="28" t="n"/>
      <c r="E191" s="29" t="n"/>
    </row>
    <row r="192" ht="35" customHeight="1">
      <c r="B192" s="30" t="inlineStr">
        <is>
          <t>Servicios incluidos</t>
        </is>
      </c>
      <c r="C192" s="31" t="inlineStr">
        <is>
          <t>• Espacio permanente en columbario de ónix natural
• Modalidad estándar o familiar</t>
        </is>
      </c>
      <c r="D192" s="32" t="n"/>
      <c r="E192" s="33" t="n"/>
    </row>
    <row r="193" ht="20" customHeight="1">
      <c r="B193" s="23" t="inlineStr">
        <is>
          <t>PRECIO &amp; CONDICIONES DE PAGO</t>
        </is>
      </c>
      <c r="C193" s="24" t="n"/>
      <c r="D193" s="24" t="n"/>
      <c r="E193" s="25" t="n"/>
    </row>
    <row r="194" ht="41" customHeight="1">
      <c r="B194" s="26" t="inlineStr">
        <is>
          <t>Precio</t>
        </is>
      </c>
      <c r="C194" s="34" t="inlineStr">
        <is>
          <t>Estándar · ubicación definida: US$ 3.100
Familiar · ubicación a futuro: US$ 5.000</t>
        </is>
      </c>
      <c r="D194" s="28" t="n"/>
      <c r="E194" s="29" t="n"/>
    </row>
    <row r="195" ht="41" customHeight="1">
      <c r="B195" s="30" t="inlineStr">
        <is>
          <t>Precio Finados y noviembre (−15%)</t>
        </is>
      </c>
      <c r="C195" s="35" t="inlineStr">
        <is>
          <t>Estándar · ubicación definida: US$ 2.635
Familiar · ubicación a futuro: US$ 4.250</t>
        </is>
      </c>
      <c r="D195" s="32" t="n"/>
      <c r="E195" s="33" t="n"/>
    </row>
    <row r="196" ht="20.5" customHeight="1">
      <c r="B196" s="30" t="inlineStr">
        <is>
          <t>Base de precio</t>
        </is>
      </c>
      <c r="C196" s="31" t="inlineStr">
        <is>
          <t>Solo columbario</t>
        </is>
      </c>
      <c r="D196" s="32" t="n"/>
      <c r="E196" s="33" t="n"/>
    </row>
    <row r="197" ht="20.5" customHeight="1">
      <c r="B197" s="26" t="inlineStr">
        <is>
          <t>Condiciones</t>
        </is>
      </c>
      <c r="C197" s="27" t="inlineStr">
        <is>
          <t>Pago único o financiado hasta 120 meses, con intereses.</t>
        </is>
      </c>
      <c r="D197" s="28" t="n"/>
      <c r="E197" s="29" t="n"/>
    </row>
    <row r="198" ht="20" customHeight="1">
      <c r="B198" s="23" t="inlineStr">
        <is>
          <t>PERFIL DEL COMPRADOR</t>
        </is>
      </c>
      <c r="C198" s="24" t="n"/>
      <c r="D198" s="24" t="n"/>
      <c r="E198" s="25" t="n"/>
    </row>
    <row r="199" ht="35" customHeight="1">
      <c r="B199" s="36" t="inlineStr">
        <is>
          <t>Cliente objetivo</t>
        </is>
      </c>
      <c r="C199" s="37" t="inlineStr">
        <is>
          <t>Familias que buscan exclusividad y una piedra natural de alta gama para el homenaje.</t>
        </is>
      </c>
      <c r="D199" s="38" t="n"/>
      <c r="E199" s="39" t="n"/>
    </row>
    <row r="202" ht="30" customHeight="1">
      <c r="B202" s="17" t="inlineStr">
        <is>
          <t>COLUMBARIO OBRA DE ARTE</t>
        </is>
      </c>
      <c r="C202" s="18" t="n"/>
      <c r="D202" s="18" t="n"/>
      <c r="E202" s="19" t="n"/>
    </row>
    <row r="203" ht="20" customHeight="1">
      <c r="B203" s="20" t="inlineStr">
        <is>
          <t>El Hogar de las Memorias  ·  Destino final · Columbario familiar exclusivo</t>
        </is>
      </c>
      <c r="C203" s="21" t="n"/>
      <c r="D203" s="21" t="n"/>
      <c r="E203" s="22" t="n"/>
    </row>
    <row r="204" ht="20" customHeight="1">
      <c r="B204" s="23" t="inlineStr">
        <is>
          <t>VISIÓN GENERAL</t>
        </is>
      </c>
      <c r="C204" s="24" t="n"/>
      <c r="D204" s="24" t="n"/>
      <c r="E204" s="25" t="n"/>
    </row>
    <row r="205" ht="49.5" customHeight="1">
      <c r="B205" s="26" t="inlineStr">
        <is>
          <t>Concepto</t>
        </is>
      </c>
      <c r="C205" s="27" t="inlineStr">
        <is>
          <t>Una expresión única de fe, memoria y belleza: tapa de ónix con obra de arte religiosa que preserva la memoria de toda una familia en un entorno de serenidad y contemplación.</t>
        </is>
      </c>
      <c r="D205" s="28" t="n"/>
      <c r="E205" s="29" t="n"/>
    </row>
    <row r="206" ht="20.5" customHeight="1">
      <c r="B206" s="30" t="inlineStr">
        <is>
          <t>Capacidad / Cobertura</t>
        </is>
      </c>
      <c r="C206" s="31" t="inlineStr">
        <is>
          <t>Familiar: hasta 4 urnas.</t>
        </is>
      </c>
      <c r="D206" s="32" t="n"/>
      <c r="E206" s="33" t="n"/>
    </row>
    <row r="207" ht="20" customHeight="1">
      <c r="B207" s="23" t="inlineStr">
        <is>
          <t>ESPECIFICACIONES TÉCNICAS</t>
        </is>
      </c>
      <c r="C207" s="24" t="n"/>
      <c r="D207" s="24" t="n"/>
      <c r="E207" s="25" t="n"/>
    </row>
    <row r="208" ht="20.5" customHeight="1">
      <c r="B208" s="26" t="inlineStr">
        <is>
          <t>Material</t>
        </is>
      </c>
      <c r="C208" s="27" t="inlineStr">
        <is>
          <t>Tapa de ónix con obra de arte religiosa</t>
        </is>
      </c>
      <c r="D208" s="28" t="n"/>
      <c r="E208" s="29" t="n"/>
    </row>
    <row r="209" ht="20.5" customHeight="1">
      <c r="B209" s="30" t="inlineStr">
        <is>
          <t>Modalidad</t>
        </is>
      </c>
      <c r="C209" s="31" t="inlineStr">
        <is>
          <t>Familiar (4 urnas)</t>
        </is>
      </c>
      <c r="D209" s="32" t="n"/>
      <c r="E209" s="33" t="n"/>
    </row>
    <row r="210" ht="20.5" customHeight="1">
      <c r="B210" s="26" t="inlineStr">
        <is>
          <t>Ubicación</t>
        </is>
      </c>
      <c r="C210" s="27" t="inlineStr">
        <is>
          <t>Definida</t>
        </is>
      </c>
      <c r="D210" s="28" t="n"/>
      <c r="E210" s="29" t="n"/>
    </row>
    <row r="211" ht="20.5" customHeight="1">
      <c r="B211" s="30" t="inlineStr">
        <is>
          <t>Permanencia</t>
        </is>
      </c>
      <c r="C211" s="31" t="inlineStr">
        <is>
          <t>Permanente</t>
        </is>
      </c>
      <c r="D211" s="32" t="n"/>
      <c r="E211" s="33" t="n"/>
    </row>
    <row r="212" ht="35" customHeight="1">
      <c r="B212" s="26" t="inlineStr">
        <is>
          <t>Servicios incluidos</t>
        </is>
      </c>
      <c r="C212" s="27" t="inlineStr">
        <is>
          <t>• Columbario familiar permanente para hasta 4 urnas
• Tapa exclusiva de ónix con obra de arte religiosa</t>
        </is>
      </c>
      <c r="D212" s="28" t="n"/>
      <c r="E212" s="29" t="n"/>
    </row>
    <row r="213" ht="20" customHeight="1">
      <c r="B213" s="23" t="inlineStr">
        <is>
          <t>PRECIO &amp; CONDICIONES DE PAGO</t>
        </is>
      </c>
      <c r="C213" s="24" t="n"/>
      <c r="D213" s="24" t="n"/>
      <c r="E213" s="25" t="n"/>
    </row>
    <row r="214" ht="26.5" customHeight="1">
      <c r="B214" s="26" t="inlineStr">
        <is>
          <t>Precio</t>
        </is>
      </c>
      <c r="C214" s="34" t="inlineStr">
        <is>
          <t>Familiar · ubicación definida: US$ 12.500</t>
        </is>
      </c>
      <c r="D214" s="28" t="n"/>
      <c r="E214" s="29" t="n"/>
    </row>
    <row r="215" ht="26.5" customHeight="1">
      <c r="B215" s="30" t="inlineStr">
        <is>
          <t>Precio Finados y noviembre (−15%)</t>
        </is>
      </c>
      <c r="C215" s="35" t="inlineStr">
        <is>
          <t>Familiar · ubicación definida: US$ 10.625</t>
        </is>
      </c>
      <c r="D215" s="32" t="n"/>
      <c r="E215" s="33" t="n"/>
    </row>
    <row r="216" ht="20.5" customHeight="1">
      <c r="B216" s="30" t="inlineStr">
        <is>
          <t>Base de precio</t>
        </is>
      </c>
      <c r="C216" s="31" t="inlineStr">
        <is>
          <t>Solo columbario</t>
        </is>
      </c>
      <c r="D216" s="32" t="n"/>
      <c r="E216" s="33" t="n"/>
    </row>
    <row r="217" ht="20.5" customHeight="1">
      <c r="B217" s="26" t="inlineStr">
        <is>
          <t>Condiciones</t>
        </is>
      </c>
      <c r="C217" s="27" t="inlineStr">
        <is>
          <t>Pago único o financiado hasta 120 meses, con intereses.</t>
        </is>
      </c>
      <c r="D217" s="28" t="n"/>
      <c r="E217" s="29" t="n"/>
    </row>
    <row r="218" ht="20" customHeight="1">
      <c r="B218" s="23" t="inlineStr">
        <is>
          <t>PERFIL DEL COMPRADOR</t>
        </is>
      </c>
      <c r="C218" s="24" t="n"/>
      <c r="D218" s="24" t="n"/>
      <c r="E218" s="25" t="n"/>
    </row>
    <row r="219" ht="20.5" customHeight="1">
      <c r="B219" s="36" t="inlineStr">
        <is>
          <t>Cliente objetivo</t>
        </is>
      </c>
      <c r="C219" s="37" t="inlineStr">
        <is>
          <t>Familias de fe que desean un legado único y de máxima exclusividad.</t>
        </is>
      </c>
      <c r="D219" s="38" t="n"/>
      <c r="E219" s="39" t="n"/>
    </row>
    <row r="222" ht="30" customHeight="1">
      <c r="B222" s="17" t="inlineStr">
        <is>
          <t>COLUMBARIO CRISTAL · BELLA VISTA</t>
        </is>
      </c>
      <c r="C222" s="18" t="n"/>
      <c r="D222" s="18" t="n"/>
      <c r="E222" s="19" t="n"/>
    </row>
    <row r="223" ht="20" customHeight="1">
      <c r="B223" s="20" t="inlineStr">
        <is>
          <t>Mausoleo vertical Bella Vista  ·  Cremación + columbario</t>
        </is>
      </c>
      <c r="C223" s="21" t="n"/>
      <c r="D223" s="21" t="n"/>
      <c r="E223" s="22" t="n"/>
    </row>
    <row r="224" ht="20" customHeight="1">
      <c r="B224" s="23" t="inlineStr">
        <is>
          <t>VISIÓN GENERAL</t>
        </is>
      </c>
      <c r="C224" s="24" t="n"/>
      <c r="D224" s="24" t="n"/>
      <c r="E224" s="25" t="n"/>
    </row>
    <row r="225" ht="49.5" customHeight="1">
      <c r="B225" s="26" t="inlineStr">
        <is>
          <t>Concepto</t>
        </is>
      </c>
      <c r="C225" s="27" t="inlineStr">
        <is>
          <t>Columbario de cristal en el mausoleo vertical Bella Vista que incluye el proceso completo de cremación: traslados, preparación, cremaciones, urnas y ceremonia de colocación.</t>
        </is>
      </c>
      <c r="D225" s="28" t="n"/>
      <c r="E225" s="29" t="n"/>
    </row>
    <row r="226" ht="20.5" customHeight="1">
      <c r="B226" s="30" t="inlineStr">
        <is>
          <t>Capacidad / Cobertura</t>
        </is>
      </c>
      <c r="C226" s="31" t="inlineStr">
        <is>
          <t>Estándar: 2 cremaciones y 2 urnas · Familiar: 4 cremaciones y 4 urnas.</t>
        </is>
      </c>
      <c r="D226" s="32" t="n"/>
      <c r="E226" s="33" t="n"/>
    </row>
    <row r="227" ht="20" customHeight="1">
      <c r="B227" s="23" t="inlineStr">
        <is>
          <t>ESPECIFICACIONES TÉCNICAS</t>
        </is>
      </c>
      <c r="C227" s="24" t="n"/>
      <c r="D227" s="24" t="n"/>
      <c r="E227" s="25" t="n"/>
    </row>
    <row r="228" ht="20.5" customHeight="1">
      <c r="B228" s="26" t="inlineStr">
        <is>
          <t>Ubicación</t>
        </is>
      </c>
      <c r="C228" s="27" t="inlineStr">
        <is>
          <t>Mausoleo vertical Bella Vista</t>
        </is>
      </c>
      <c r="D228" s="28" t="n"/>
      <c r="E228" s="29" t="n"/>
    </row>
    <row r="229" ht="20.5" customHeight="1">
      <c r="B229" s="30" t="inlineStr">
        <is>
          <t>Material</t>
        </is>
      </c>
      <c r="C229" s="31" t="inlineStr">
        <is>
          <t>Cristal</t>
        </is>
      </c>
      <c r="D229" s="32" t="n"/>
      <c r="E229" s="33" t="n"/>
    </row>
    <row r="230" ht="20.5" customHeight="1">
      <c r="B230" s="26" t="inlineStr">
        <is>
          <t>Medidas</t>
        </is>
      </c>
      <c r="C230" s="27" t="inlineStr">
        <is>
          <t>30 × 30 × 30 cm</t>
        </is>
      </c>
      <c r="D230" s="28" t="n"/>
      <c r="E230" s="29" t="n"/>
    </row>
    <row r="231" ht="20.5" customHeight="1">
      <c r="B231" s="30" t="inlineStr">
        <is>
          <t>Cremación</t>
        </is>
      </c>
      <c r="C231" s="31" t="inlineStr">
        <is>
          <t>2 (estándar) o 4 (familiar) cremaciones, con certificado</t>
        </is>
      </c>
      <c r="D231" s="32" t="n"/>
      <c r="E231" s="33" t="n"/>
    </row>
    <row r="232" ht="20.5" customHeight="1">
      <c r="B232" s="26" t="inlineStr">
        <is>
          <t>Preparación y resguardo</t>
        </is>
      </c>
      <c r="C232" s="27" t="inlineStr">
        <is>
          <t>Preparación química y custodia en laboratorio hasta por 5 días</t>
        </is>
      </c>
      <c r="D232" s="28" t="n"/>
      <c r="E232" s="29" t="n"/>
    </row>
    <row r="233" ht="78.5" customHeight="1">
      <c r="B233" s="30" t="inlineStr">
        <is>
          <t>Servicios incluidos</t>
        </is>
      </c>
      <c r="C233" s="31" t="inlineStr">
        <is>
          <t>• Columbario de cristal permanente (estándar o familiar)
• Traslados durante todo el proceso
• Preparación química y resguardo hasta por 5 días
• 2 o 4 cremaciones y 2 o 4 urnas cinerarias básicas
• Certificado de cremación y ceremonias privadas de colocación</t>
        </is>
      </c>
      <c r="D233" s="32" t="n"/>
      <c r="E233" s="33" t="n"/>
    </row>
    <row r="234" ht="20" customHeight="1">
      <c r="B234" s="23" t="inlineStr">
        <is>
          <t>PRECIO &amp; CONDICIONES DE PAGO</t>
        </is>
      </c>
      <c r="C234" s="24" t="n"/>
      <c r="D234" s="24" t="n"/>
      <c r="E234" s="25" t="n"/>
    </row>
    <row r="235" ht="70" customHeight="1">
      <c r="B235" s="26" t="inlineStr">
        <is>
          <t>Precio</t>
        </is>
      </c>
      <c r="C235" s="34" t="inlineStr">
        <is>
          <t>Estándar · ubicación definida: US$ 1.800
Estándar · ubicación a futuro: US$ 1.300
Familiar · ubicación definida: US$ 2.900
Familiar · ubicación a futuro: US$ 2.300</t>
        </is>
      </c>
      <c r="D235" s="28" t="n"/>
      <c r="E235" s="29" t="n"/>
    </row>
    <row r="236" ht="70" customHeight="1">
      <c r="B236" s="30" t="inlineStr">
        <is>
          <t>Precio Finados y noviembre (−15%)</t>
        </is>
      </c>
      <c r="C236" s="35" t="inlineStr">
        <is>
          <t>Estándar · ubicación definida: US$ 1.530
Estándar · ubicación a futuro: US$ 1.105
Familiar · ubicación definida: US$ 2.465
Familiar · ubicación a futuro: US$ 1.955</t>
        </is>
      </c>
      <c r="D236" s="32" t="n"/>
      <c r="E236" s="33" t="n"/>
    </row>
    <row r="237" ht="20.5" customHeight="1">
      <c r="B237" s="30" t="inlineStr">
        <is>
          <t>Base de precio</t>
        </is>
      </c>
      <c r="C237" s="31" t="inlineStr">
        <is>
          <t>Incluye cremación · precio según modalidad y ubicación</t>
        </is>
      </c>
      <c r="D237" s="32" t="n"/>
      <c r="E237" s="33" t="n"/>
    </row>
    <row r="238" ht="20.5" customHeight="1">
      <c r="B238" s="26" t="inlineStr">
        <is>
          <t>Condiciones</t>
        </is>
      </c>
      <c r="C238" s="27" t="inlineStr">
        <is>
          <t>Pago único o financiado hasta 120 meses, con intereses.</t>
        </is>
      </c>
      <c r="D238" s="28" t="n"/>
      <c r="E238" s="29" t="n"/>
    </row>
    <row r="239" ht="20" customHeight="1">
      <c r="B239" s="23" t="inlineStr">
        <is>
          <t>PERFIL DEL COMPRADOR</t>
        </is>
      </c>
      <c r="C239" s="24" t="n"/>
      <c r="D239" s="24" t="n"/>
      <c r="E239" s="25" t="n"/>
    </row>
    <row r="240" ht="35" customHeight="1">
      <c r="B240" s="36" t="inlineStr">
        <is>
          <t>Cliente objetivo</t>
        </is>
      </c>
      <c r="C240" s="37" t="inlineStr">
        <is>
          <t>Familias que buscan la opción más accesible de cremación con columbario permanente, para 2 o 4 personas.</t>
        </is>
      </c>
      <c r="D240" s="38" t="n"/>
      <c r="E240" s="39" t="n"/>
    </row>
  </sheetData>
  <mergeCells count="217">
    <mergeCell ref="C44:E44"/>
    <mergeCell ref="C31:E31"/>
    <mergeCell ref="B74:E74"/>
    <mergeCell ref="C80:E80"/>
    <mergeCell ref="C40:E40"/>
    <mergeCell ref="C129:E129"/>
    <mergeCell ref="B139:E139"/>
    <mergeCell ref="C21:E21"/>
    <mergeCell ref="C192:E192"/>
    <mergeCell ref="B207:E207"/>
    <mergeCell ref="C60:E60"/>
    <mergeCell ref="B110:E110"/>
    <mergeCell ref="B203:E203"/>
    <mergeCell ref="C123:E123"/>
    <mergeCell ref="C23:E23"/>
    <mergeCell ref="C194:E194"/>
    <mergeCell ref="C228:E228"/>
    <mergeCell ref="B165:E165"/>
    <mergeCell ref="B47:E47"/>
    <mergeCell ref="C91:E91"/>
    <mergeCell ref="B115:E115"/>
    <mergeCell ref="B155:E155"/>
    <mergeCell ref="B93:E93"/>
    <mergeCell ref="B193:E193"/>
    <mergeCell ref="B102:E102"/>
    <mergeCell ref="C57:E57"/>
    <mergeCell ref="B12:E12"/>
    <mergeCell ref="C18:E18"/>
    <mergeCell ref="C101:E101"/>
    <mergeCell ref="C229:E229"/>
    <mergeCell ref="C77:E77"/>
    <mergeCell ref="C34:E34"/>
    <mergeCell ref="C157:E157"/>
    <mergeCell ref="C151:E151"/>
    <mergeCell ref="B1:E1"/>
    <mergeCell ref="C126:E126"/>
    <mergeCell ref="B69:E69"/>
    <mergeCell ref="B78:E78"/>
    <mergeCell ref="C206:E206"/>
    <mergeCell ref="C215:E215"/>
    <mergeCell ref="C128:E128"/>
    <mergeCell ref="C20:E20"/>
    <mergeCell ref="C113:E113"/>
    <mergeCell ref="C25:E25"/>
    <mergeCell ref="C103:E103"/>
    <mergeCell ref="C85:E85"/>
    <mergeCell ref="C196:E196"/>
    <mergeCell ref="C112:E112"/>
    <mergeCell ref="C168:E168"/>
    <mergeCell ref="C94:E94"/>
    <mergeCell ref="C205:E205"/>
    <mergeCell ref="C180:E180"/>
    <mergeCell ref="C84:E84"/>
    <mergeCell ref="C133:E133"/>
    <mergeCell ref="C22:E22"/>
    <mergeCell ref="C127:E127"/>
    <mergeCell ref="B64:E64"/>
    <mergeCell ref="C167:E167"/>
    <mergeCell ref="B33:E33"/>
    <mergeCell ref="C176:E176"/>
    <mergeCell ref="B183:E183"/>
    <mergeCell ref="C114:E114"/>
    <mergeCell ref="B51:E51"/>
    <mergeCell ref="B164:E164"/>
    <mergeCell ref="C59:E59"/>
    <mergeCell ref="C232:E232"/>
    <mergeCell ref="B222:E222"/>
    <mergeCell ref="C46:E46"/>
    <mergeCell ref="C178:E178"/>
    <mergeCell ref="C61:E61"/>
    <mergeCell ref="C39:E39"/>
    <mergeCell ref="C70:E70"/>
    <mergeCell ref="C159:E159"/>
    <mergeCell ref="C48:E48"/>
    <mergeCell ref="C153:E153"/>
    <mergeCell ref="C219:E219"/>
    <mergeCell ref="C233:E233"/>
    <mergeCell ref="C106:E106"/>
    <mergeCell ref="C32:E32"/>
    <mergeCell ref="C38:E38"/>
    <mergeCell ref="C81:E81"/>
    <mergeCell ref="C209:E209"/>
    <mergeCell ref="B140:E140"/>
    <mergeCell ref="C161:E161"/>
    <mergeCell ref="C217:E217"/>
    <mergeCell ref="B223:E223"/>
    <mergeCell ref="C13:E13"/>
    <mergeCell ref="C170:E170"/>
    <mergeCell ref="C131:E131"/>
    <mergeCell ref="C87:E87"/>
    <mergeCell ref="B130:E130"/>
    <mergeCell ref="C145:E145"/>
    <mergeCell ref="C154:E154"/>
    <mergeCell ref="C15:E15"/>
    <mergeCell ref="C195:E195"/>
    <mergeCell ref="B179:E179"/>
    <mergeCell ref="C89:E89"/>
    <mergeCell ref="C104:E104"/>
    <mergeCell ref="C116:E116"/>
    <mergeCell ref="B53:E53"/>
    <mergeCell ref="C156:E156"/>
    <mergeCell ref="B166:E166"/>
    <mergeCell ref="B119:E119"/>
    <mergeCell ref="C187:E187"/>
    <mergeCell ref="C79:E79"/>
    <mergeCell ref="B29:E29"/>
    <mergeCell ref="C197:E197"/>
    <mergeCell ref="C231:E231"/>
    <mergeCell ref="C35:E35"/>
    <mergeCell ref="B174:E174"/>
    <mergeCell ref="C63:E63"/>
    <mergeCell ref="C10:E10"/>
    <mergeCell ref="C16:E16"/>
    <mergeCell ref="C212:E212"/>
    <mergeCell ref="C230:E230"/>
    <mergeCell ref="C173:E173"/>
    <mergeCell ref="C55:E55"/>
    <mergeCell ref="C236:E236"/>
    <mergeCell ref="C214:E214"/>
    <mergeCell ref="B142:E142"/>
    <mergeCell ref="B24:E24"/>
    <mergeCell ref="B160:E160"/>
    <mergeCell ref="B169:E169"/>
    <mergeCell ref="C36:E36"/>
    <mergeCell ref="C11:E11"/>
    <mergeCell ref="B144:E144"/>
    <mergeCell ref="B97:E97"/>
    <mergeCell ref="B224:E224"/>
    <mergeCell ref="B7:E7"/>
    <mergeCell ref="C150:E150"/>
    <mergeCell ref="B185:E185"/>
    <mergeCell ref="C158:E158"/>
    <mergeCell ref="C67:E67"/>
    <mergeCell ref="B121:E121"/>
    <mergeCell ref="C190:E190"/>
    <mergeCell ref="C109:E109"/>
    <mergeCell ref="B122:E122"/>
    <mergeCell ref="B56:E56"/>
    <mergeCell ref="B184:E184"/>
    <mergeCell ref="C199:E199"/>
    <mergeCell ref="C37:E37"/>
    <mergeCell ref="C208:E208"/>
    <mergeCell ref="C186:E186"/>
    <mergeCell ref="B52:E52"/>
    <mergeCell ref="C136:E136"/>
    <mergeCell ref="B120:E120"/>
    <mergeCell ref="B2:E2"/>
    <mergeCell ref="C92:E92"/>
    <mergeCell ref="B42:E42"/>
    <mergeCell ref="C235:E235"/>
    <mergeCell ref="C210:E210"/>
    <mergeCell ref="C62:E62"/>
    <mergeCell ref="C14:E14"/>
    <mergeCell ref="C191:E191"/>
    <mergeCell ref="C225:E225"/>
    <mergeCell ref="C107:E107"/>
    <mergeCell ref="C172:E172"/>
    <mergeCell ref="B19:E19"/>
    <mergeCell ref="B234:E234"/>
    <mergeCell ref="B28:E28"/>
    <mergeCell ref="C171:E171"/>
    <mergeCell ref="B99:E99"/>
    <mergeCell ref="C54:E54"/>
    <mergeCell ref="B9:E9"/>
    <mergeCell ref="C177:E177"/>
    <mergeCell ref="C41:E41"/>
    <mergeCell ref="C134:E134"/>
    <mergeCell ref="C146:E146"/>
    <mergeCell ref="C124:E124"/>
    <mergeCell ref="B143:E143"/>
    <mergeCell ref="C211:E211"/>
    <mergeCell ref="C226:E226"/>
    <mergeCell ref="B239:E239"/>
    <mergeCell ref="B30:E30"/>
    <mergeCell ref="B5:E5"/>
    <mergeCell ref="C90:E90"/>
    <mergeCell ref="C105:E105"/>
    <mergeCell ref="C148:E148"/>
    <mergeCell ref="C43:E43"/>
    <mergeCell ref="B204:E204"/>
    <mergeCell ref="B198:E198"/>
    <mergeCell ref="B213:E213"/>
    <mergeCell ref="B188:E188"/>
    <mergeCell ref="C76:E76"/>
    <mergeCell ref="B4:E4"/>
    <mergeCell ref="C132:E132"/>
    <mergeCell ref="B75:E75"/>
    <mergeCell ref="B135:E135"/>
    <mergeCell ref="B218:E218"/>
    <mergeCell ref="B227:E227"/>
    <mergeCell ref="C17:E17"/>
    <mergeCell ref="C82:E82"/>
    <mergeCell ref="B125:E125"/>
    <mergeCell ref="B202:E202"/>
    <mergeCell ref="C149:E149"/>
    <mergeCell ref="C240:E240"/>
    <mergeCell ref="C66:E66"/>
    <mergeCell ref="C237:E237"/>
    <mergeCell ref="C189:E189"/>
    <mergeCell ref="C111:E111"/>
    <mergeCell ref="C86:E86"/>
    <mergeCell ref="C68:E68"/>
    <mergeCell ref="C83:E83"/>
    <mergeCell ref="C238:E238"/>
    <mergeCell ref="C108:E108"/>
    <mergeCell ref="B98:E98"/>
    <mergeCell ref="C175:E175"/>
    <mergeCell ref="C58:E58"/>
    <mergeCell ref="B8:E8"/>
    <mergeCell ref="B73:E73"/>
    <mergeCell ref="C45:E45"/>
    <mergeCell ref="B88:E88"/>
    <mergeCell ref="C216:E216"/>
    <mergeCell ref="B147:E147"/>
    <mergeCell ref="C100:E100"/>
    <mergeCell ref="C152:E152"/>
    <mergeCell ref="C65:E65"/>
  </mergeCells>
  <pageMargins left="0.75" right="0.75" top="1" bottom="1" header="0.5" footer="0.5"/>
  <pageSetup orientation="portrait" fitToHeight="0" fitToWidth="1"/>
  <rowBreaks count="10" manualBreakCount="10">
    <brk id="26" min="0" max="16383" man="1"/>
    <brk id="49" min="0" max="16383" man="1"/>
    <brk id="71" min="0" max="16383" man="1"/>
    <brk id="95" min="0" max="16383" man="1"/>
    <brk id="117" min="0" max="16383" man="1"/>
    <brk id="137" min="0" max="16383" man="1"/>
    <brk id="162" min="0" max="16383" man="1"/>
    <brk id="181" min="0" max="16383" man="1"/>
    <brk id="200" min="0" max="16383" man="1"/>
    <brk id="220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40" customWidth="1" min="3" max="3"/>
    <col width="36" customWidth="1" min="4" max="4"/>
  </cols>
  <sheetData>
    <row r="1" ht="34" customHeight="1">
      <c r="A1" s="1" t="inlineStr">
        <is>
          <t>LA AUXILIADORA · VANGRUPO  |  POLÍTICA DE COMISIONES DE LOS PRODUCTOS DE CREMACIÓN</t>
        </is>
      </c>
    </row>
    <row r="2" ht="22" customHeight="1">
      <c r="A2" s="43" t="inlineStr">
        <is>
          <t>Vigente en 2026 · comisión según la cantidad de ventas del mes (8% · 10% · 12%)</t>
        </is>
      </c>
    </row>
    <row r="4" ht="20" customHeight="1">
      <c r="A4" s="44" t="inlineStr">
        <is>
          <t>1. ESCALA POR CANTIDAD DE VENTAS EN EL MES (cualquier producto de cremación)</t>
        </is>
      </c>
    </row>
    <row r="5" ht="32" customHeight="1">
      <c r="A5" s="45" t="inlineStr">
        <is>
          <t>Ventas en el mes</t>
        </is>
      </c>
      <c r="B5" s="45" t="inlineStr">
        <is>
          <t>% comisión</t>
        </is>
      </c>
      <c r="C5" s="45" t="inlineStr">
        <is>
          <t>Ejemplo: facturación con Solución Modular (sin IVA)</t>
        </is>
      </c>
      <c r="D5" s="45" t="inlineStr">
        <is>
          <t>Comisión del ejemplo</t>
        </is>
      </c>
    </row>
    <row r="6" ht="24" customHeight="1">
      <c r="A6" s="46" t="inlineStr">
        <is>
          <t>1 venta</t>
        </is>
      </c>
      <c r="B6" s="47" t="n">
        <v>0.08</v>
      </c>
      <c r="C6" s="48">
        <f>1*1000*100/113</f>
        <v/>
      </c>
      <c r="D6" s="49">
        <f>B6*C6</f>
        <v/>
      </c>
    </row>
    <row r="7" ht="24" customHeight="1">
      <c r="A7" s="50" t="inlineStr">
        <is>
          <t>2 ventas</t>
        </is>
      </c>
      <c r="B7" s="51" t="n">
        <v>0.1</v>
      </c>
      <c r="C7" s="52">
        <f>2*1000*100/113</f>
        <v/>
      </c>
      <c r="D7" s="53">
        <f>B7*C7</f>
        <v/>
      </c>
    </row>
    <row r="8" ht="24" customHeight="1">
      <c r="A8" s="46" t="inlineStr">
        <is>
          <t>3 ventas o más</t>
        </is>
      </c>
      <c r="B8" s="47" t="n">
        <v>0.12</v>
      </c>
      <c r="C8" s="48">
        <f>3*1000*100/113</f>
        <v/>
      </c>
      <c r="D8" s="49">
        <f>B8*C8</f>
        <v/>
      </c>
    </row>
    <row r="10" ht="20" customHeight="1">
      <c r="A10" s="44" t="inlineStr">
        <is>
          <t>2. CUÁNDO SE PAGA Y CUÁNDO SE DESCUENTA</t>
        </is>
      </c>
    </row>
    <row r="11" ht="32" customHeight="1">
      <c r="A11" s="45" t="inlineStr">
        <is>
          <t>Producto</t>
        </is>
      </c>
      <c r="B11" s="45" t="inlineStr">
        <is>
          <t>Momento de pago</t>
        </is>
      </c>
      <c r="C11" s="45" t="inlineStr">
        <is>
          <t>Estorno</t>
        </is>
      </c>
      <c r="D11" s="45" t="inlineStr">
        <is>
          <t>Observaciones</t>
        </is>
      </c>
    </row>
    <row r="12" ht="36" customHeight="1">
      <c r="A12" s="46" t="inlineStr">
        <is>
          <t>Solución Modular de Cremación</t>
        </is>
      </c>
      <c r="B12" s="54" t="inlineStr">
        <is>
          <t>Pago único cuando el cliente paga la 3ª cuota</t>
        </is>
      </c>
      <c r="C12" s="54" t="inlineStr">
        <is>
          <t>Si el cliente cancela antes de la 12ª cuota</t>
        </is>
      </c>
      <c r="D12" s="54" t="inlineStr"/>
    </row>
    <row r="13" ht="36" customHeight="1">
      <c r="A13" s="50" t="inlineStr">
        <is>
          <t>Jardines de Cenizas (Individual, Familiar, Ecológico)</t>
        </is>
      </c>
      <c r="B13" s="55" t="inlineStr">
        <is>
          <t>Contado: mes siguiente al pago. Financiado: proporcional a lo cobrado</t>
        </is>
      </c>
      <c r="C13" s="55" t="inlineStr">
        <is>
          <t>Cancelación en los primeros 90 días</t>
        </is>
      </c>
      <c r="D13" s="55" t="inlineStr"/>
    </row>
    <row r="14" ht="36" customHeight="1">
      <c r="A14" s="46" t="inlineStr">
        <is>
          <t>Jardín de Mascotas</t>
        </is>
      </c>
      <c r="B14" s="54" t="inlineStr">
        <is>
          <t>Mes siguiente al pago (pago único)</t>
        </is>
      </c>
      <c r="C14" s="54" t="inlineStr">
        <is>
          <t>Cancelación en los primeros 90 días</t>
        </is>
      </c>
      <c r="D14" s="54" t="inlineStr"/>
    </row>
    <row r="15" ht="36" customHeight="1">
      <c r="A15" s="50" t="inlineStr">
        <is>
          <t>Columbarios (portafolio existente)</t>
        </is>
      </c>
      <c r="B15" s="55" t="inlineStr">
        <is>
          <t>Contado: mes siguiente al pago. Financiado: proporcional a lo cobrado</t>
        </is>
      </c>
      <c r="C15" s="55" t="inlineStr">
        <is>
          <t>Cancelación en los primeros 90 días</t>
        </is>
      </c>
      <c r="D15" s="55" t="inlineStr">
        <is>
          <t>Mismo criterio de cantidad de ventas que los productos nuevos.</t>
        </is>
      </c>
    </row>
    <row r="17" ht="20" customHeight="1">
      <c r="A17" s="44" t="inlineStr">
        <is>
          <t>3. REGLAS GENERALES</t>
        </is>
      </c>
    </row>
    <row r="18" ht="22" customHeight="1">
      <c r="A18" s="56" t="inlineStr">
        <is>
          <t>1. 1 venta en el mes de cualquier producto de cremación = 8%; 2 ventas = 10%; 3 o más = 12%, sobre toda la facturación del mes.</t>
        </is>
      </c>
    </row>
    <row r="19" ht="22" customHeight="1">
      <c r="A19" s="56" t="inlineStr">
        <is>
          <t>2. Cada contrato vendido cuenta como 1 venta, sin distinción por grupo de producto (nuevos y columbarios).</t>
        </is>
      </c>
    </row>
    <row r="20" ht="22" customHeight="1">
      <c r="A20" s="56" t="inlineStr">
        <is>
          <t>3. Base de cálculo: facturación sin IVA (13%), neta de descuentos. La comisión se paga sobre lo cobrado.</t>
        </is>
      </c>
    </row>
    <row r="21" ht="22" customHeight="1">
      <c r="A21" s="56" t="inlineStr">
        <is>
          <t>4. Mismo criterio para call center, contratados y freelancers. No hay bonos adicionales.</t>
        </is>
      </c>
    </row>
    <row r="22" ht="22" customHeight="1">
      <c r="A22" s="56" t="inlineStr">
        <is>
          <t>5. Venta compartida (call center agenda, otro vendedor cierra): 1 venta para ambos; comisión 30% / 70%.</t>
        </is>
      </c>
    </row>
    <row r="23" ht="22" customHeight="1">
      <c r="A23" s="56" t="inlineStr">
        <is>
          <t>6. No generan comisión ni cuentan como venta: cuotas de mantenimiento anual (US$ 15 / US$ 24).</t>
        </is>
      </c>
    </row>
    <row r="24" ht="22" customHeight="1">
      <c r="A24" s="56" t="inlineStr">
        <is>
          <t>7. Estorno: la comisión se descuenta de los pagos siguientes al vendedor. Ventas anuladas no cuentan.</t>
        </is>
      </c>
    </row>
  </sheetData>
  <mergeCells count="12">
    <mergeCell ref="A1:D1"/>
    <mergeCell ref="A17:D17"/>
    <mergeCell ref="A18:D18"/>
    <mergeCell ref="A23:D23"/>
    <mergeCell ref="A22:D22"/>
    <mergeCell ref="A4:D4"/>
    <mergeCell ref="A20:D20"/>
    <mergeCell ref="A21:D21"/>
    <mergeCell ref="A24:D24"/>
    <mergeCell ref="A2:D2"/>
    <mergeCell ref="A19:D19"/>
    <mergeCell ref="A10:D1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2026-10-26T14:21:45Z</dcterms:created>
  <dcterms:modified xmlns:dcterms="http://purl.org/dc/terms/" xmlns:xsi="http://www.w3.org/2001/XMLSchema-instance" xsi:type="dcterms:W3CDTF">2026-10-26T14:21:45Z</dcterms:modified>
</cp:coreProperties>
</file>