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Gral. - Visión Comercial" sheetId="1" state="visible" r:id="rId1"/>
    <sheet xmlns:r="http://schemas.openxmlformats.org/officeDocument/2006/relationships" name="Ficha Técnica Consolidada" sheetId="2" state="visible" r:id="rId2"/>
    <sheet xmlns:r="http://schemas.openxmlformats.org/officeDocument/2006/relationships" name="Portafolio existente" sheetId="3" state="visible" r:id="rId3"/>
    <sheet xmlns:r="http://schemas.openxmlformats.org/officeDocument/2006/relationships" name="Política de Comisiones" sheetId="4" state="visible" r:id="rId4"/>
  </sheets>
  <definedNames>
    <definedName name="_xlnm._FilterDatabase" localSheetId="0" hidden="1">'Tabla Gral. - Visión Comercial'!$A$4:$I$10</definedName>
    <definedName name="_xlnm.Print_Titles" localSheetId="0">'Tabla Gral. - Visión Comercial'!$4:$4</definedName>
    <definedName name="_xlnm.Print_Area" localSheetId="1">'Ficha Técnica Consolidada'!$A$1:$F$134</definedName>
    <definedName name="_xlnm.Print_Area" localSheetId="2">'Portafolio existente'!$A$1:$F$103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US$&quot; #,##0.0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i val="1"/>
      <color rgb="000F2537"/>
      <sz val="11"/>
    </font>
    <font>
      <name val="Calibri"/>
      <b val="1"/>
      <color rgb="00FFFFFF"/>
      <sz val="11"/>
    </font>
    <font>
      <name val="Calibri"/>
      <color rgb="002C3E50"/>
      <sz val="10"/>
    </font>
    <font>
      <name val="Calibri"/>
      <b val="1"/>
      <color rgb="001B365D"/>
      <sz val="11"/>
    </font>
    <font>
      <name val="Calibri"/>
      <b val="1"/>
      <color rgb="000F2537"/>
      <sz val="11"/>
    </font>
    <font>
      <name val="Calibri"/>
      <i val="1"/>
      <color rgb="00C5A059"/>
      <sz val="11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0F2537"/>
      <sz val="10"/>
    </font>
    <font>
      <name val="Calibri"/>
      <b val="1"/>
      <color rgb="001B365D"/>
      <sz val="10"/>
    </font>
    <font>
      <name val="Calibri"/>
      <b val="1"/>
      <color rgb="000F2537"/>
      <sz val="13"/>
    </font>
    <font>
      <name val="Calibri"/>
      <b val="1"/>
      <color rgb="000F2537"/>
      <sz val="12"/>
    </font>
  </fonts>
  <fills count="9">
    <fill>
      <patternFill/>
    </fill>
    <fill>
      <patternFill patternType="gray125"/>
    </fill>
    <fill>
      <patternFill patternType="solid">
        <fgColor rgb="000F2537"/>
        <bgColor rgb="000F2537"/>
      </patternFill>
    </fill>
    <fill>
      <patternFill patternType="solid">
        <fgColor rgb="00C5A059"/>
        <bgColor rgb="00C5A059"/>
      </patternFill>
    </fill>
    <fill>
      <patternFill patternType="solid">
        <fgColor rgb="001B365D"/>
        <bgColor rgb="001B365D"/>
      </patternFill>
    </fill>
    <fill>
      <patternFill patternType="solid">
        <fgColor rgb="00F4F7FA"/>
        <bgColor rgb="00F4F7FA"/>
      </patternFill>
    </fill>
    <fill>
      <patternFill patternType="solid">
        <fgColor rgb="00FFFFFF"/>
        <bgColor rgb="00FFFFFF"/>
      </patternFill>
    </fill>
    <fill>
      <patternFill patternType="solid">
        <fgColor rgb="00FBF3E1"/>
        <bgColor rgb="00FBF3E1"/>
      </patternFill>
    </fill>
    <fill>
      <patternFill patternType="solid">
        <fgColor rgb="00D4AF37"/>
        <bgColor rgb="00D4AF37"/>
      </patternFill>
    </fill>
  </fills>
  <borders count="13">
    <border>
      <left/>
      <right/>
      <top/>
      <bottom/>
      <diagonal/>
    </border>
    <border>
      <left style="thin">
        <color rgb="00C5A059"/>
      </left>
      <right style="thin">
        <color rgb="00C5A059"/>
      </right>
      <bottom style="medium">
        <color rgb="00C5A059"/>
      </bottom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  <border>
      <top style="medium">
        <color rgb="00C5A059"/>
      </top>
      <bottom style="medium">
        <color rgb="00C5A059"/>
      </bottom>
    </border>
    <border>
      <left style="medium">
        <color rgb="00C5A059"/>
      </left>
      <top style="medium">
        <color rgb="00C5A059"/>
      </top>
      <bottom style="hair">
        <color rgb="00D5DCE4"/>
      </bottom>
    </border>
    <border>
      <top style="medium">
        <color rgb="00C5A059"/>
      </top>
      <bottom style="hair">
        <color rgb="00D5DCE4"/>
      </bottom>
    </border>
    <border>
      <right style="medium">
        <color rgb="00C5A059"/>
      </right>
      <top style="medium">
        <color rgb="00C5A059"/>
      </top>
      <bottom style="hair">
        <color rgb="00D5DCE4"/>
      </bottom>
    </border>
    <border>
      <left style="medium">
        <color rgb="00C5A059"/>
      </left>
      <bottom style="hair">
        <color rgb="00D5DCE4"/>
      </bottom>
    </border>
    <border>
      <bottom style="hair">
        <color rgb="00D5DCE4"/>
      </bottom>
    </border>
    <border>
      <right style="medium">
        <color rgb="00C5A059"/>
      </right>
      <bottom style="hair">
        <color rgb="00D5DCE4"/>
      </bottom>
    </border>
    <border>
      <left style="medium">
        <color rgb="00C5A059"/>
      </left>
      <bottom style="medium">
        <color rgb="00C5A059"/>
      </bottom>
    </border>
    <border>
      <bottom style="medium">
        <color rgb="00C5A059"/>
      </bottom>
    </border>
    <border>
      <right style="medium">
        <color rgb="00C5A059"/>
      </right>
      <bottom style="medium">
        <color rgb="00C5A059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6" fillId="5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5" fillId="7" borderId="3" applyAlignment="1" pivotButton="0" quotePrefix="0" xfId="0">
      <alignment vertical="top" wrapText="1"/>
    </xf>
    <xf numFmtId="0" fontId="4" fillId="7" borderId="3" applyAlignment="1" pivotButton="0" quotePrefix="0" xfId="0">
      <alignment vertical="top" wrapText="1"/>
    </xf>
    <xf numFmtId="0" fontId="6" fillId="7" borderId="3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4" borderId="4" applyAlignment="1" pivotButton="0" quotePrefix="0" xfId="0">
      <alignment vertical="center" indent="1"/>
    </xf>
    <xf numFmtId="0" fontId="0" fillId="4" borderId="5" pivotButton="0" quotePrefix="0" xfId="0"/>
    <xf numFmtId="0" fontId="0" fillId="4" borderId="6" pivotButton="0" quotePrefix="0" xfId="0"/>
    <xf numFmtId="0" fontId="9" fillId="2" borderId="7" applyAlignment="1" pivotButton="0" quotePrefix="0" xfId="0">
      <alignment vertical="center" indent="1"/>
    </xf>
    <xf numFmtId="0" fontId="0" fillId="2" borderId="8" pivotButton="0" quotePrefix="0" xfId="0"/>
    <xf numFmtId="0" fontId="0" fillId="2" borderId="9" pivotButton="0" quotePrefix="0" xfId="0"/>
    <xf numFmtId="0" fontId="10" fillId="3" borderId="7" applyAlignment="1" pivotButton="0" quotePrefix="0" xfId="0">
      <alignment vertical="center" indent="1"/>
    </xf>
    <xf numFmtId="0" fontId="0" fillId="0" borderId="8" pivotButton="0" quotePrefix="0" xfId="0"/>
    <xf numFmtId="0" fontId="0" fillId="0" borderId="9" pivotButton="0" quotePrefix="0" xfId="0"/>
    <xf numFmtId="0" fontId="11" fillId="5" borderId="7" applyAlignment="1" pivotButton="0" quotePrefix="0" xfId="0">
      <alignment vertical="top" wrapText="1" indent="1"/>
    </xf>
    <xf numFmtId="0" fontId="4" fillId="5" borderId="8" applyAlignment="1" pivotButton="0" quotePrefix="0" xfId="0">
      <alignment vertical="top" wrapText="1"/>
    </xf>
    <xf numFmtId="0" fontId="0" fillId="5" borderId="8" pivotButton="0" quotePrefix="0" xfId="0"/>
    <xf numFmtId="0" fontId="0" fillId="5" borderId="9" pivotButton="0" quotePrefix="0" xfId="0"/>
    <xf numFmtId="0" fontId="11" fillId="6" borderId="7" applyAlignment="1" pivotButton="0" quotePrefix="0" xfId="0">
      <alignment vertical="top" wrapText="1" indent="1"/>
    </xf>
    <xf numFmtId="0" fontId="4" fillId="6" borderId="8" applyAlignment="1" pivotButton="0" quotePrefix="0" xfId="0">
      <alignment vertical="top" wrapText="1"/>
    </xf>
    <xf numFmtId="0" fontId="0" fillId="6" borderId="8" pivotButton="0" quotePrefix="0" xfId="0"/>
    <xf numFmtId="0" fontId="0" fillId="6" borderId="9" pivotButton="0" quotePrefix="0" xfId="0"/>
    <xf numFmtId="0" fontId="12" fillId="5" borderId="8" applyAlignment="1" pivotButton="0" quotePrefix="0" xfId="0">
      <alignment vertical="top" wrapText="1"/>
    </xf>
    <xf numFmtId="0" fontId="12" fillId="6" borderId="8" applyAlignment="1" pivotButton="0" quotePrefix="0" xfId="0">
      <alignment vertical="top" wrapText="1"/>
    </xf>
    <xf numFmtId="0" fontId="11" fillId="5" borderId="10" applyAlignment="1" pivotButton="0" quotePrefix="0" xfId="0">
      <alignment vertical="top" wrapText="1" indent="1"/>
    </xf>
    <xf numFmtId="0" fontId="4" fillId="5" borderId="11" applyAlignment="1" pivotButton="0" quotePrefix="0" xfId="0">
      <alignment vertical="top" wrapText="1"/>
    </xf>
    <xf numFmtId="0" fontId="0" fillId="5" borderId="11" pivotButton="0" quotePrefix="0" xfId="0"/>
    <xf numFmtId="0" fontId="0" fillId="5" borderId="12" pivotButton="0" quotePrefix="0" xfId="0"/>
    <xf numFmtId="0" fontId="6" fillId="8" borderId="7" applyAlignment="1" pivotButton="0" quotePrefix="0" xfId="0">
      <alignment horizontal="center" vertical="center"/>
    </xf>
    <xf numFmtId="0" fontId="0" fillId="8" borderId="8" pivotButton="0" quotePrefix="0" xfId="0"/>
    <xf numFmtId="0" fontId="0" fillId="8" borderId="9" pivotButton="0" quotePrefix="0" xfId="0"/>
    <xf numFmtId="0" fontId="6" fillId="8" borderId="0" applyAlignment="1" pivotButton="0" quotePrefix="0" xfId="0">
      <alignment horizontal="left" vertical="center" indent="1"/>
    </xf>
    <xf numFmtId="0" fontId="10" fillId="3" borderId="0" applyAlignment="1" pivotButton="0" quotePrefix="0" xfId="0">
      <alignment vertical="center" indent="1"/>
    </xf>
    <xf numFmtId="0" fontId="3" fillId="4" borderId="11" applyAlignment="1" pivotButton="0" quotePrefix="0" xfId="0">
      <alignment horizontal="center" vertical="center" wrapText="1"/>
    </xf>
    <xf numFmtId="0" fontId="5" fillId="5" borderId="2" applyAlignment="1" pivotButton="0" quotePrefix="0" xfId="0">
      <alignment vertical="center" wrapText="1"/>
    </xf>
    <xf numFmtId="9" fontId="13" fillId="5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center" vertical="center"/>
    </xf>
    <xf numFmtId="164" fontId="6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vertical="center" wrapText="1"/>
    </xf>
    <xf numFmtId="9" fontId="13" fillId="6" borderId="2" applyAlignment="1" pivotButton="0" quotePrefix="0" xfId="0">
      <alignment horizontal="center" vertical="center"/>
    </xf>
    <xf numFmtId="164" fontId="4" fillId="6" borderId="2" applyAlignment="1" pivotButton="0" quotePrefix="0" xfId="0">
      <alignment horizontal="center" vertical="center"/>
    </xf>
    <xf numFmtId="164" fontId="6" fillId="6" borderId="2" applyAlignment="1" pivotButton="0" quotePrefix="0" xfId="0">
      <alignment horizontal="center" vertical="center"/>
    </xf>
    <xf numFmtId="0" fontId="4" fillId="5" borderId="2" applyAlignment="1" pivotButton="0" quotePrefix="0" xfId="0">
      <alignment vertical="center" wrapText="1"/>
    </xf>
    <xf numFmtId="0" fontId="4" fillId="6" borderId="2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I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42" customWidth="1" min="3" max="3"/>
    <col width="24" customWidth="1" min="4" max="4"/>
    <col width="46" customWidth="1" min="5" max="5"/>
    <col width="36" customWidth="1" min="6" max="6"/>
    <col width="22" customWidth="1" min="7" max="7"/>
    <col width="22" customWidth="1" min="8" max="8"/>
    <col width="34" customWidth="1" min="9" max="9"/>
  </cols>
  <sheetData>
    <row r="1" ht="34" customHeight="1">
      <c r="A1" s="1" t="inlineStr">
        <is>
          <t>LA AUXILIADORA · VANGRUPO  |  PORTAFOLIO DE CREMACIÓN — VISIÓN COMERCIAL</t>
        </is>
      </c>
    </row>
    <row r="2" ht="22" customHeight="1">
      <c r="A2" s="2" t="inlineStr">
        <is>
          <t>Campaña Día de los Muertos 2026</t>
        </is>
      </c>
    </row>
    <row r="4" ht="36" customHeight="1">
      <c r="A4" s="3" t="inlineStr">
        <is>
          <t>Nombre Comercial</t>
        </is>
      </c>
      <c r="B4" s="3" t="inlineStr">
        <is>
          <t>Categoría / Línea</t>
        </is>
      </c>
      <c r="C4" s="3" t="inlineStr">
        <is>
          <t>Concepto / Descripción</t>
        </is>
      </c>
      <c r="D4" s="3" t="inlineStr">
        <is>
          <t>Capacidad / Cobertura</t>
        </is>
      </c>
      <c r="E4" s="3" t="inlineStr">
        <is>
          <t>Servicios Incluidos &amp; Diferenciales</t>
        </is>
      </c>
      <c r="F4" s="3" t="inlineStr">
        <is>
          <t>Perfil de Cliente</t>
        </is>
      </c>
      <c r="G4" s="3" t="inlineStr">
        <is>
          <t>Precio Sugerido (USD)</t>
        </is>
      </c>
      <c r="H4" s="3" t="inlineStr">
        <is>
          <t>Precio lanzamiento (−20%)</t>
        </is>
      </c>
      <c r="I4" s="3" t="inlineStr">
        <is>
          <t>Condiciones de Pago / Financiamiento</t>
        </is>
      </c>
    </row>
    <row r="5" ht="107.5" customHeight="1">
      <c r="A5" s="4" t="inlineStr">
        <is>
          <t>Solución Modular de Cremación</t>
        </is>
      </c>
      <c r="B5" s="5" t="inlineStr">
        <is>
          <t>Cremación · Módulo add-on</t>
        </is>
      </c>
      <c r="C5" s="5" t="inlineStr">
        <is>
          <t>Módulo de cremación integrable a cualquier plan funerario vigente o nuevo de Vangrupo, sin necesidad de cambiar de plan.</t>
        </is>
      </c>
      <c r="D5" s="5" t="inlineStr">
        <is>
          <t>Individual (1 titular / beneficiario por módulo).</t>
        </is>
      </c>
      <c r="E5" s="5" t="inlineStr">
        <is>
          <t>• Proceso completo de cremación individual
• Urna cineraria de línea modular
• Trámites legales básicos
• Alquiler temporal de columbario por 1 año en Hogar de las Memorias
• Integración al plan funerario base (actual o nuevo)</t>
        </is>
      </c>
      <c r="F5" s="5" t="inlineStr">
        <is>
          <t>Afiliados actuales y nuevos que desean incorporar la cremación a su plan con una cuota mensual mínima.</t>
        </is>
      </c>
      <c r="G5" s="6" t="inlineStr">
        <is>
          <t>US$ 1.000
(Por módulo individual)</t>
        </is>
      </c>
      <c r="H5" s="5" t="inlineStr">
        <is>
          <t>US$ 800
(descuento de lanzamiento · Finados y noviembre)</t>
        </is>
      </c>
      <c r="I5" s="5" t="inlineStr">
        <is>
          <t>Pago en hasta 120 meses, con intereses.
Debe estar pagado en su totalidad para el uso de la cremación y el columbario</t>
        </is>
      </c>
    </row>
    <row r="6" ht="107.5" customHeight="1">
      <c r="A6" s="7" t="inlineStr">
        <is>
          <t>Jardín de Cenizas · Individual</t>
        </is>
      </c>
      <c r="B6" s="8" t="inlineStr">
        <is>
          <t>Destino final · Inhumación individual</t>
        </is>
      </c>
      <c r="C6" s="8" t="inlineStr">
        <is>
          <t>Inhumación de la urna de cenizas en un contenedor enterrado con tapa de granito grabada, en un jardín de plantas de sombra: un lugar físico de homenaje por 30 años desde la primera inhumación, renovable.</t>
        </is>
      </c>
      <c r="D6" s="8" t="inlineStr">
        <is>
          <t>Individual (1 urna).</t>
        </is>
      </c>
      <c r="E6" s="8" t="inlineStr">
        <is>
          <t>• Inhumación de la urna en contenedor individual
• Tapa de granito con los datos del difunto
• Ubicación en el Jardín 1, con paisajismo de plantas de sombra
• Espacio de contemplación con banco
• Permanencia de 30 años desde la primera inhumación, renovable por igual período</t>
        </is>
      </c>
      <c r="F6" s="8" t="inlineStr">
        <is>
          <t>Familias que desean un lugar propio para visitar y rendir homenaje, con una inversión moderada.</t>
        </is>
      </c>
      <c r="G6" s="9" t="inlineStr">
        <is>
          <t>US$ 600
(Por espacio individual · mantenimiento US$ 15/año)</t>
        </is>
      </c>
      <c r="H6" s="8" t="inlineStr">
        <is>
          <t>US$ 480
(descuento de lanzamiento · Finados y noviembre)</t>
        </is>
      </c>
      <c r="I6" s="8" t="inlineStr">
        <is>
          <t>Pago único o financiado según política comercial vigente. Cuota de mantenimiento: US$ 15 anual.</t>
        </is>
      </c>
    </row>
    <row r="7" ht="93" customHeight="1">
      <c r="A7" s="4" t="inlineStr">
        <is>
          <t>Jardín de Cenizas · Familiar</t>
        </is>
      </c>
      <c r="B7" s="5" t="inlineStr">
        <is>
          <t>Destino final · Inhumación familiar</t>
        </is>
      </c>
      <c r="C7" s="5" t="inlineStr">
        <is>
          <t>Parcela familiar en el Jardín 1 con cuatro contenedores agrupados, cada uno con tapa de granito grabada, con permanencia de 30 años desde la primera inhumación, renovable por igual período.</t>
        </is>
      </c>
      <c r="D7" s="5" t="inlineStr">
        <is>
          <t>Hasta 4 espacios (familiar).</t>
        </is>
      </c>
      <c r="E7" s="5" t="inlineStr">
        <is>
          <t>• Inhumación de hasta 4 urnas
• Tapa de granito grabada para cada espacio
• Ubicación en el Jardín 1, con paisajismo de plantas de sombra
• Lugar de homenaje familiar por 30 años, renovable por igual período</t>
        </is>
      </c>
      <c r="F7" s="5" t="inlineStr">
        <is>
          <t>Familias que buscan un espacio propio para varias generaciones.</t>
        </is>
      </c>
      <c r="G7" s="6" t="inlineStr">
        <is>
          <t>US$ 2.000
(Por parcela familiar · hasta 4 espacios · mantenimiento US$ 24/año)</t>
        </is>
      </c>
      <c r="H7" s="5" t="inlineStr">
        <is>
          <t>US$ 1.600
(descuento de lanzamiento · Finados y noviembre)</t>
        </is>
      </c>
      <c r="I7" s="5" t="inlineStr">
        <is>
          <t>Pago único o financiado según política comercial vigente. Cuota de mantenimiento: US$ 24 anual.</t>
        </is>
      </c>
    </row>
    <row r="8" ht="122" customHeight="1">
      <c r="A8" s="7" t="inlineStr">
        <is>
          <t>Jardín de Cenizas · Ecológico</t>
        </is>
      </c>
      <c r="B8" s="8" t="inlineStr">
        <is>
          <t>Destino final · Inhumación ecológica</t>
        </is>
      </c>
      <c r="C8" s="8" t="inlineStr">
        <is>
          <t>La urna biodegradable se entierra directamente en el suelo, se cubre con tierra y se descompone integrándose a la naturaleza. Jardín con agua corriente y área de esparcimiento de cenizas.</t>
        </is>
      </c>
      <c r="D8" s="8" t="inlineStr">
        <is>
          <t>Individual (1 urna).</t>
        </is>
      </c>
      <c r="E8" s="8" t="inlineStr">
        <is>
          <t>• Inhumación ecológica de la urna directamente en el suelo
• Placa de identificación
• Ubicación en el Jardín 2 o en el Bosque de las Orquídeas
• Entorno natural con agua corriente
• Permanencia de 3 años; luego, placa memorial en el monumento (incluida)</t>
        </is>
      </c>
      <c r="F8" s="8" t="inlineStr">
        <is>
          <t>Personas con conciencia ambiental que desean que sus cenizas vuelvan a la tierra, con un lugar identificado para visitar.</t>
        </is>
      </c>
      <c r="G8" s="9" t="inlineStr">
        <is>
          <t>US$ 750
(Por espacio individual · placa memorial incluida)</t>
        </is>
      </c>
      <c r="H8" s="8" t="inlineStr">
        <is>
          <t>US$ 600
(descuento de lanzamiento · Finados y noviembre)</t>
        </is>
      </c>
      <c r="I8" s="8" t="inlineStr">
        <is>
          <t>Pago único o financiado según política comercial vigente. Incluye la placa memorial en el monumento al término del plazo.</t>
        </is>
      </c>
    </row>
    <row r="9" ht="107.5" customHeight="1">
      <c r="A9" s="4" t="inlineStr">
        <is>
          <t>Jardín de Mascotas</t>
        </is>
      </c>
      <c r="B9" s="5" t="inlineStr">
        <is>
          <t>Destino final · Inhumación ecológica</t>
        </is>
      </c>
      <c r="C9" s="5" t="inlineStr">
        <is>
          <t>Jardín para inhumación ecológica de cenizas de mascotas: la urna biodegradable se entierra directamente en el suelo y se identifica con una placa de madera.</t>
        </is>
      </c>
      <c r="D9" s="5" t="inlineStr">
        <is>
          <t>Individual (una mascota por servicio).</t>
        </is>
      </c>
      <c r="E9" s="5" t="inlineStr">
        <is>
          <t>• Inhumación ecológica de la urna en el jardín
• Placa de madera de 20 cm para identificación
• Permanencia de 3 años; luego, placa memorial en el monumento (incluida)
• Cremación de la mascota y urna biodegradable (opción US$ 550)</t>
        </is>
      </c>
      <c r="F9" s="5" t="inlineStr">
        <is>
          <t>Familias que consideran a su mascota parte del hogar y desean un cierre digno.</t>
        </is>
      </c>
      <c r="G9" s="6" t="inlineStr">
        <is>
          <t>US$ 400 / US$ 550
(US$ 400 solo espacio (urna aparte) · US$ 550 con cremación y urna)</t>
        </is>
      </c>
      <c r="H9" s="5" t="inlineStr">
        <is>
          <t>US$ 320 / US$ 440
(descuento de lanzamiento · Finados y noviembre)</t>
        </is>
      </c>
      <c r="I9" s="5" t="inlineStr">
        <is>
          <t>Pago único; puede contratarse como adicional al plan funerario. La opción de US$ 550 incluye la cremación de la mascota y la urna biodegradable; en la opción de US$ 400 (solo espacio) la urna biodegradable se adquiere por separado.</t>
        </is>
      </c>
    </row>
    <row r="10" ht="49.5" customHeight="1">
      <c r="A10" s="10" t="inlineStr">
        <is>
          <t>Jardín de Cenizas · Ceremonial
★ PRÓXIMO LANZAMIENTO</t>
        </is>
      </c>
      <c r="B10" s="11" t="inlineStr">
        <is>
          <t>Destino final · Inhumación con ceremonia</t>
        </is>
      </c>
      <c r="C10" s="11" t="inlineStr">
        <is>
          <t>Jardín para inhumación de urnas de cenizas con ceremonia de agua, con fuentes como elemento central del rito de despedida.</t>
        </is>
      </c>
      <c r="D10" s="11" t="inlineStr">
        <is>
          <t>A definir.</t>
        </is>
      </c>
      <c r="E10" s="11" t="inlineStr">
        <is>
          <t>• Inhumación de urnas de cenizas
• Ceremonia con agua en fuente</t>
        </is>
      </c>
      <c r="F10" s="11" t="inlineStr">
        <is>
          <t>Familias que valoran un rito de despedida simbólico y un entorno contemplativo.</t>
        </is>
      </c>
      <c r="G10" s="12" t="inlineStr">
        <is>
          <t>A definir
(Producto en definición)</t>
        </is>
      </c>
      <c r="H10" s="11" t="inlineStr">
        <is>
          <t>A definir</t>
        </is>
      </c>
      <c r="I10" s="11" t="inlineStr">
        <is>
          <t>A definir.</t>
        </is>
      </c>
    </row>
  </sheetData>
  <autoFilter ref="A4:I10"/>
  <mergeCells count="2">
    <mergeCell ref="A1:I1"/>
    <mergeCell ref="A2:I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C5A059"/>
    <outlinePr summaryBelow="1" summaryRight="1"/>
    <pageSetUpPr fitToPage="1"/>
  </sheetPr>
  <dimension ref="B1:E1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0" customWidth="1" min="3" max="3"/>
    <col width="30" customWidth="1" min="4" max="4"/>
    <col width="30" customWidth="1" min="5" max="5"/>
    <col width="3" customWidth="1" min="6" max="6"/>
  </cols>
  <sheetData>
    <row r="1" ht="34" customHeight="1">
      <c r="B1" s="13" t="inlineStr">
        <is>
          <t>FICHA TÉCNICA CONSOLIDADA  ·  LA AUXILIADORA · VANGRUPO</t>
        </is>
      </c>
    </row>
    <row r="2">
      <c r="B2" s="14" t="inlineStr">
        <is>
          <t>Portafolio de Cremación — Campaña Día de los Muertos 2026</t>
        </is>
      </c>
    </row>
    <row r="4" ht="30" customHeight="1">
      <c r="B4" s="15" t="inlineStr">
        <is>
          <t>SOLUCIÓN MODULAR DE CREMACIÓN</t>
        </is>
      </c>
      <c r="C4" s="16" t="n"/>
      <c r="D4" s="16" t="n"/>
      <c r="E4" s="17" t="n"/>
    </row>
    <row r="5" ht="20" customHeight="1">
      <c r="B5" s="18" t="inlineStr">
        <is>
          <t>Línea Cremación Modular  ·  Cremación · Módulo add-on</t>
        </is>
      </c>
      <c r="C5" s="19" t="n"/>
      <c r="D5" s="19" t="n"/>
      <c r="E5" s="20" t="n"/>
    </row>
    <row r="6" ht="20" customHeight="1">
      <c r="B6" s="21" t="inlineStr">
        <is>
          <t>VISIÓN GENERAL</t>
        </is>
      </c>
      <c r="C6" s="22" t="n"/>
      <c r="D6" s="22" t="n"/>
      <c r="E6" s="23" t="n"/>
    </row>
    <row r="7" ht="35" customHeight="1">
      <c r="B7" s="24" t="inlineStr">
        <is>
          <t>Concepto</t>
        </is>
      </c>
      <c r="C7" s="25" t="inlineStr">
        <is>
          <t>Módulo de cremación integrable a cualquier plan funerario vigente o nuevo de Vangrupo, sin necesidad de cambiar de plan.</t>
        </is>
      </c>
      <c r="D7" s="26" t="n"/>
      <c r="E7" s="27" t="n"/>
    </row>
    <row r="8" ht="20.5" customHeight="1">
      <c r="B8" s="28" t="inlineStr">
        <is>
          <t>Capacidad / Cobertura</t>
        </is>
      </c>
      <c r="C8" s="29" t="inlineStr">
        <is>
          <t>Individual (1 titular / beneficiario por módulo).</t>
        </is>
      </c>
      <c r="D8" s="30" t="n"/>
      <c r="E8" s="31" t="n"/>
    </row>
    <row r="9" ht="20" customHeight="1">
      <c r="B9" s="21" t="inlineStr">
        <is>
          <t>ESPECIFICACIONES TÉCNICAS</t>
        </is>
      </c>
      <c r="C9" s="22" t="n"/>
      <c r="D9" s="22" t="n"/>
      <c r="E9" s="23" t="n"/>
    </row>
    <row r="10" ht="20.5" customHeight="1">
      <c r="B10" s="24" t="inlineStr">
        <is>
          <t>Tipo de producto</t>
        </is>
      </c>
      <c r="C10" s="25" t="inlineStr">
        <is>
          <t>Módulo adicional (add-on) a plan funerario</t>
        </is>
      </c>
      <c r="D10" s="26" t="n"/>
      <c r="E10" s="27" t="n"/>
    </row>
    <row r="11" ht="20.5" customHeight="1">
      <c r="B11" s="28" t="inlineStr">
        <is>
          <t>Modalidad de cremación</t>
        </is>
      </c>
      <c r="C11" s="29" t="inlineStr">
        <is>
          <t>Individual</t>
        </is>
      </c>
      <c r="D11" s="30" t="n"/>
      <c r="E11" s="31" t="n"/>
    </row>
    <row r="12" ht="20.5" customHeight="1">
      <c r="B12" s="24" t="inlineStr">
        <is>
          <t>Urna</t>
        </is>
      </c>
      <c r="C12" s="25" t="inlineStr">
        <is>
          <t>Cineraria, línea modular</t>
        </is>
      </c>
      <c r="D12" s="26" t="n"/>
      <c r="E12" s="27" t="n"/>
    </row>
    <row r="13" ht="20.5" customHeight="1">
      <c r="B13" s="28" t="inlineStr">
        <is>
          <t>Gestión legal</t>
        </is>
      </c>
      <c r="C13" s="29" t="inlineStr">
        <is>
          <t>Trámites básicos incluidos</t>
        </is>
      </c>
      <c r="D13" s="30" t="n"/>
      <c r="E13" s="31" t="n"/>
    </row>
    <row r="14" ht="20.5" customHeight="1">
      <c r="B14" s="24" t="inlineStr">
        <is>
          <t>Columbario</t>
        </is>
      </c>
      <c r="C14" s="25" t="inlineStr">
        <is>
          <t>Alquiler temporal · 12 meses incluido en Hogar de las Memorias</t>
        </is>
      </c>
      <c r="D14" s="26" t="n"/>
      <c r="E14" s="27" t="n"/>
    </row>
    <row r="15" ht="78.5" customHeight="1">
      <c r="B15" s="28" t="inlineStr">
        <is>
          <t>Servicios incluidos</t>
        </is>
      </c>
      <c r="C15" s="29" t="inlineStr">
        <is>
          <t>• Proceso completo de cremación individual
• Urna cineraria de línea modular
• Trámites legales básicos
• Alquiler temporal de columbario por 1 año en Hogar de las Memorias
• Integración al plan funerario base (actual o nuevo)</t>
        </is>
      </c>
      <c r="D15" s="30" t="n"/>
      <c r="E15" s="31" t="n"/>
    </row>
    <row r="16" ht="20" customHeight="1">
      <c r="B16" s="21" t="inlineStr">
        <is>
          <t>PRECIO &amp; CONDICIONES DE PAGO</t>
        </is>
      </c>
      <c r="C16" s="22" t="n"/>
      <c r="D16" s="22" t="n"/>
      <c r="E16" s="23" t="n"/>
    </row>
    <row r="17" ht="26.5" customHeight="1">
      <c r="B17" s="24" t="inlineStr">
        <is>
          <t>Precio sugerido</t>
        </is>
      </c>
      <c r="C17" s="32" t="inlineStr">
        <is>
          <t>US$ 1.000</t>
        </is>
      </c>
      <c r="D17" s="26" t="n"/>
      <c r="E17" s="27" t="n"/>
    </row>
    <row r="18" ht="26.5" customHeight="1">
      <c r="B18" s="28" t="inlineStr">
        <is>
          <t>Precio lanzamiento (−20%)</t>
        </is>
      </c>
      <c r="C18" s="33" t="inlineStr">
        <is>
          <t>US$ 800</t>
        </is>
      </c>
      <c r="D18" s="30" t="n"/>
      <c r="E18" s="31" t="n"/>
    </row>
    <row r="19" ht="20.5" customHeight="1">
      <c r="B19" s="28" t="inlineStr">
        <is>
          <t>Base de precio</t>
        </is>
      </c>
      <c r="C19" s="29" t="inlineStr">
        <is>
          <t>Por módulo individual</t>
        </is>
      </c>
      <c r="D19" s="30" t="n"/>
      <c r="E19" s="31" t="n"/>
    </row>
    <row r="20" ht="35" customHeight="1">
      <c r="B20" s="24" t="inlineStr">
        <is>
          <t>Condiciones</t>
        </is>
      </c>
      <c r="C20" s="25" t="inlineStr">
        <is>
          <t>Pago en hasta 120 meses, con intereses.
Debe estar pagado en su totalidad para el uso de la cremación y el columbario</t>
        </is>
      </c>
      <c r="D20" s="26" t="n"/>
      <c r="E20" s="27" t="n"/>
    </row>
    <row r="21" ht="20" customHeight="1">
      <c r="B21" s="21" t="inlineStr">
        <is>
          <t>PERFIL DEL COMPRADOR</t>
        </is>
      </c>
      <c r="C21" s="22" t="n"/>
      <c r="D21" s="22" t="n"/>
      <c r="E21" s="23" t="n"/>
    </row>
    <row r="22" ht="35" customHeight="1">
      <c r="B22" s="34" t="inlineStr">
        <is>
          <t>Cliente objetivo</t>
        </is>
      </c>
      <c r="C22" s="35" t="inlineStr">
        <is>
          <t>Afiliados actuales y nuevos que desean incorporar la cremación a su plan con una cuota mensual mínima.</t>
        </is>
      </c>
      <c r="D22" s="36" t="n"/>
      <c r="E22" s="37" t="n"/>
    </row>
    <row r="25" ht="30" customHeight="1">
      <c r="B25" s="15" t="inlineStr">
        <is>
          <t>JARDÍN DE CENIZAS · INDIVIDUAL</t>
        </is>
      </c>
      <c r="C25" s="16" t="n"/>
      <c r="D25" s="16" t="n"/>
      <c r="E25" s="17" t="n"/>
    </row>
    <row r="26" ht="20" customHeight="1">
      <c r="B26" s="18" t="inlineStr">
        <is>
          <t>Jardines de la Memoria · Jardín 1  ·  Destino final · Inhumación individual</t>
        </is>
      </c>
      <c r="C26" s="19" t="n"/>
      <c r="D26" s="19" t="n"/>
      <c r="E26" s="20" t="n"/>
    </row>
    <row r="27" ht="20" customHeight="1">
      <c r="B27" s="21" t="inlineStr">
        <is>
          <t>VISIÓN GENERAL</t>
        </is>
      </c>
      <c r="C27" s="22" t="n"/>
      <c r="D27" s="22" t="n"/>
      <c r="E27" s="23" t="n"/>
    </row>
    <row r="28" ht="49.5" customHeight="1">
      <c r="B28" s="24" t="inlineStr">
        <is>
          <t>Concepto</t>
        </is>
      </c>
      <c r="C28" s="25" t="inlineStr">
        <is>
          <t>Inhumación de la urna de cenizas en un contenedor enterrado con tapa de granito grabada, en un jardín de plantas de sombra: un lugar físico de homenaje por 30 años desde la primera inhumación, renovable.</t>
        </is>
      </c>
      <c r="D28" s="26" t="n"/>
      <c r="E28" s="27" t="n"/>
    </row>
    <row r="29" ht="20.5" customHeight="1">
      <c r="B29" s="28" t="inlineStr">
        <is>
          <t>Capacidad / Cobertura</t>
        </is>
      </c>
      <c r="C29" s="29" t="inlineStr">
        <is>
          <t>Individual (1 urna).</t>
        </is>
      </c>
      <c r="D29" s="30" t="n"/>
      <c r="E29" s="31" t="n"/>
    </row>
    <row r="30" ht="20" customHeight="1">
      <c r="B30" s="21" t="inlineStr">
        <is>
          <t>ESPECIFICACIONES TÉCNICAS</t>
        </is>
      </c>
      <c r="C30" s="22" t="n"/>
      <c r="D30" s="22" t="n"/>
      <c r="E30" s="23" t="n"/>
    </row>
    <row r="31" ht="20.5" customHeight="1">
      <c r="B31" s="24" t="inlineStr">
        <is>
          <t>Ambiente</t>
        </is>
      </c>
      <c r="C31" s="25" t="inlineStr">
        <is>
          <t>Jardín 1</t>
        </is>
      </c>
      <c r="D31" s="26" t="n"/>
      <c r="E31" s="27" t="n"/>
    </row>
    <row r="32" ht="20.5" customHeight="1">
      <c r="B32" s="28" t="inlineStr">
        <is>
          <t>Contenedor</t>
        </is>
      </c>
      <c r="C32" s="29" t="inlineStr">
        <is>
          <t>Ø 32 cm × 40 cm de altura; enterrado dejando 20 cm a la vista</t>
        </is>
      </c>
      <c r="D32" s="30" t="n"/>
      <c r="E32" s="31" t="n"/>
    </row>
    <row r="33" ht="20.5" customHeight="1">
      <c r="B33" s="24" t="inlineStr">
        <is>
          <t>Identificación</t>
        </is>
      </c>
      <c r="C33" s="25" t="inlineStr">
        <is>
          <t>Tapa de granito con la información del difunto</t>
        </is>
      </c>
      <c r="D33" s="26" t="n"/>
      <c r="E33" s="27" t="n"/>
    </row>
    <row r="34" ht="20.5" customHeight="1">
      <c r="B34" s="28" t="inlineStr">
        <is>
          <t>Paisajismo</t>
        </is>
      </c>
      <c r="C34" s="29" t="inlineStr">
        <is>
          <t>Plantas de sombra de diferentes alturas y texturas</t>
        </is>
      </c>
      <c r="D34" s="30" t="n"/>
      <c r="E34" s="31" t="n"/>
    </row>
    <row r="35" ht="20.5" customHeight="1">
      <c r="B35" s="24" t="inlineStr">
        <is>
          <t>Acceso</t>
        </is>
      </c>
      <c r="C35" s="25" t="inlineStr">
        <is>
          <t>Camino de 1,2 m en gravilla con bordillo prefabricado</t>
        </is>
      </c>
      <c r="D35" s="26" t="n"/>
      <c r="E35" s="27" t="n"/>
    </row>
    <row r="36" ht="20.5" customHeight="1">
      <c r="B36" s="28" t="inlineStr">
        <is>
          <t>Permanencia</t>
        </is>
      </c>
      <c r="C36" s="29" t="inlineStr">
        <is>
          <t>30 años desde la primera inhumación, renovable por igual período</t>
        </is>
      </c>
      <c r="D36" s="30" t="n"/>
      <c r="E36" s="31" t="n"/>
    </row>
    <row r="37" ht="20.5" customHeight="1">
      <c r="B37" s="24" t="inlineStr">
        <is>
          <t>Mantenimiento</t>
        </is>
      </c>
      <c r="C37" s="25" t="inlineStr">
        <is>
          <t>US$ 15 anual</t>
        </is>
      </c>
      <c r="D37" s="26" t="n"/>
      <c r="E37" s="27" t="n"/>
    </row>
    <row r="38" ht="93" customHeight="1">
      <c r="B38" s="28" t="inlineStr">
        <is>
          <t>Servicios incluidos</t>
        </is>
      </c>
      <c r="C38" s="29" t="inlineStr">
        <is>
          <t>• Inhumación de la urna en contenedor individual
• Tapa de granito con los datos del difunto
• Ubicación en el Jardín 1, con paisajismo de plantas de sombra
• Espacio de contemplación con banco
• Permanencia de 30 años desde la primera inhumación, renovable por igual período</t>
        </is>
      </c>
      <c r="D38" s="30" t="n"/>
      <c r="E38" s="31" t="n"/>
    </row>
    <row r="39" ht="20" customHeight="1">
      <c r="B39" s="21" t="inlineStr">
        <is>
          <t>PRECIO &amp; CONDICIONES DE PAGO</t>
        </is>
      </c>
      <c r="C39" s="22" t="n"/>
      <c r="D39" s="22" t="n"/>
      <c r="E39" s="23" t="n"/>
    </row>
    <row r="40" ht="26.5" customHeight="1">
      <c r="B40" s="24" t="inlineStr">
        <is>
          <t>Precio sugerido</t>
        </is>
      </c>
      <c r="C40" s="32" t="inlineStr">
        <is>
          <t>US$ 600</t>
        </is>
      </c>
      <c r="D40" s="26" t="n"/>
      <c r="E40" s="27" t="n"/>
    </row>
    <row r="41" ht="26.5" customHeight="1">
      <c r="B41" s="28" t="inlineStr">
        <is>
          <t>Precio lanzamiento (−20%)</t>
        </is>
      </c>
      <c r="C41" s="33" t="inlineStr">
        <is>
          <t>US$ 480</t>
        </is>
      </c>
      <c r="D41" s="30" t="n"/>
      <c r="E41" s="31" t="n"/>
    </row>
    <row r="42" ht="20.5" customHeight="1">
      <c r="B42" s="28" t="inlineStr">
        <is>
          <t>Base de precio</t>
        </is>
      </c>
      <c r="C42" s="29" t="inlineStr">
        <is>
          <t>Por espacio individual · mantenimiento US$ 15/año</t>
        </is>
      </c>
      <c r="D42" s="30" t="n"/>
      <c r="E42" s="31" t="n"/>
    </row>
    <row r="43" ht="35" customHeight="1">
      <c r="B43" s="24" t="inlineStr">
        <is>
          <t>Condiciones</t>
        </is>
      </c>
      <c r="C43" s="25" t="inlineStr">
        <is>
          <t>Pago único o financiado según política comercial vigente. Cuota de mantenimiento: US$ 15 anual.</t>
        </is>
      </c>
      <c r="D43" s="26" t="n"/>
      <c r="E43" s="27" t="n"/>
    </row>
    <row r="44" ht="20" customHeight="1">
      <c r="B44" s="21" t="inlineStr">
        <is>
          <t>PERFIL DEL COMPRADOR</t>
        </is>
      </c>
      <c r="C44" s="22" t="n"/>
      <c r="D44" s="22" t="n"/>
      <c r="E44" s="23" t="n"/>
    </row>
    <row r="45" ht="35" customHeight="1">
      <c r="B45" s="34" t="inlineStr">
        <is>
          <t>Cliente objetivo</t>
        </is>
      </c>
      <c r="C45" s="35" t="inlineStr">
        <is>
          <t>Familias que desean un lugar propio para visitar y rendir homenaje, con una inversión moderada.</t>
        </is>
      </c>
      <c r="D45" s="36" t="n"/>
      <c r="E45" s="37" t="n"/>
    </row>
    <row r="48" ht="30" customHeight="1">
      <c r="B48" s="15" t="inlineStr">
        <is>
          <t>JARDÍN DE CENIZAS · FAMILIAR</t>
        </is>
      </c>
      <c r="C48" s="16" t="n"/>
      <c r="D48" s="16" t="n"/>
      <c r="E48" s="17" t="n"/>
    </row>
    <row r="49" ht="20" customHeight="1">
      <c r="B49" s="18" t="inlineStr">
        <is>
          <t>Jardines de la Memoria · Jardín 1  ·  Destino final · Inhumación familiar</t>
        </is>
      </c>
      <c r="C49" s="19" t="n"/>
      <c r="D49" s="19" t="n"/>
      <c r="E49" s="20" t="n"/>
    </row>
    <row r="50" ht="20" customHeight="1">
      <c r="B50" s="21" t="inlineStr">
        <is>
          <t>VISIÓN GENERAL</t>
        </is>
      </c>
      <c r="C50" s="22" t="n"/>
      <c r="D50" s="22" t="n"/>
      <c r="E50" s="23" t="n"/>
    </row>
    <row r="51" ht="49.5" customHeight="1">
      <c r="B51" s="24" t="inlineStr">
        <is>
          <t>Concepto</t>
        </is>
      </c>
      <c r="C51" s="25" t="inlineStr">
        <is>
          <t>Parcela familiar en el Jardín 1 con cuatro contenedores agrupados, cada uno con tapa de granito grabada, con permanencia de 30 años desde la primera inhumación, renovable por igual período.</t>
        </is>
      </c>
      <c r="D51" s="26" t="n"/>
      <c r="E51" s="27" t="n"/>
    </row>
    <row r="52" ht="20.5" customHeight="1">
      <c r="B52" s="28" t="inlineStr">
        <is>
          <t>Capacidad / Cobertura</t>
        </is>
      </c>
      <c r="C52" s="29" t="inlineStr">
        <is>
          <t>Hasta 4 espacios (familiar).</t>
        </is>
      </c>
      <c r="D52" s="30" t="n"/>
      <c r="E52" s="31" t="n"/>
    </row>
    <row r="53" ht="20" customHeight="1">
      <c r="B53" s="21" t="inlineStr">
        <is>
          <t>ESPECIFICACIONES TÉCNICAS</t>
        </is>
      </c>
      <c r="C53" s="22" t="n"/>
      <c r="D53" s="22" t="n"/>
      <c r="E53" s="23" t="n"/>
    </row>
    <row r="54" ht="20.5" customHeight="1">
      <c r="B54" s="24" t="inlineStr">
        <is>
          <t>Ambiente</t>
        </is>
      </c>
      <c r="C54" s="25" t="inlineStr">
        <is>
          <t>Jardín 1</t>
        </is>
      </c>
      <c r="D54" s="26" t="n"/>
      <c r="E54" s="27" t="n"/>
    </row>
    <row r="55" ht="20.5" customHeight="1">
      <c r="B55" s="28" t="inlineStr">
        <is>
          <t>Capacidad</t>
        </is>
      </c>
      <c r="C55" s="29" t="inlineStr">
        <is>
          <t>4 contenedores agrupados en losa</t>
        </is>
      </c>
      <c r="D55" s="30" t="n"/>
      <c r="E55" s="31" t="n"/>
    </row>
    <row r="56" ht="20.5" customHeight="1">
      <c r="B56" s="24" t="inlineStr">
        <is>
          <t>Identificación</t>
        </is>
      </c>
      <c r="C56" s="25" t="inlineStr">
        <is>
          <t>Tapa de granito por espacio, con la información del difunto</t>
        </is>
      </c>
      <c r="D56" s="26" t="n"/>
      <c r="E56" s="27" t="n"/>
    </row>
    <row r="57" ht="20.5" customHeight="1">
      <c r="B57" s="28" t="inlineStr">
        <is>
          <t>Permanencia</t>
        </is>
      </c>
      <c r="C57" s="29" t="inlineStr">
        <is>
          <t>30 años desde la primera inhumación, renovable por igual período</t>
        </is>
      </c>
      <c r="D57" s="30" t="n"/>
      <c r="E57" s="31" t="n"/>
    </row>
    <row r="58" ht="20.5" customHeight="1">
      <c r="B58" s="24" t="inlineStr">
        <is>
          <t>Acceso</t>
        </is>
      </c>
      <c r="C58" s="25" t="inlineStr">
        <is>
          <t>Camino de 1,2 m en gravilla con bordillo prefabricado</t>
        </is>
      </c>
      <c r="D58" s="26" t="n"/>
      <c r="E58" s="27" t="n"/>
    </row>
    <row r="59" ht="20.5" customHeight="1">
      <c r="B59" s="28" t="inlineStr">
        <is>
          <t>Mantenimiento</t>
        </is>
      </c>
      <c r="C59" s="29" t="inlineStr">
        <is>
          <t>US$ 24 anual</t>
        </is>
      </c>
      <c r="D59" s="30" t="n"/>
      <c r="E59" s="31" t="n"/>
    </row>
    <row r="60" ht="64" customHeight="1">
      <c r="B60" s="24" t="inlineStr">
        <is>
          <t>Servicios incluidos</t>
        </is>
      </c>
      <c r="C60" s="25" t="inlineStr">
        <is>
          <t>• Inhumación de hasta 4 urnas
• Tapa de granito grabada para cada espacio
• Ubicación en el Jardín 1, con paisajismo de plantas de sombra
• Lugar de homenaje familiar por 30 años, renovable por igual período</t>
        </is>
      </c>
      <c r="D60" s="26" t="n"/>
      <c r="E60" s="27" t="n"/>
    </row>
    <row r="61" ht="20" customHeight="1">
      <c r="B61" s="21" t="inlineStr">
        <is>
          <t>PRECIO &amp; CONDICIONES DE PAGO</t>
        </is>
      </c>
      <c r="C61" s="22" t="n"/>
      <c r="D61" s="22" t="n"/>
      <c r="E61" s="23" t="n"/>
    </row>
    <row r="62" ht="26.5" customHeight="1">
      <c r="B62" s="24" t="inlineStr">
        <is>
          <t>Precio sugerido</t>
        </is>
      </c>
      <c r="C62" s="32" t="inlineStr">
        <is>
          <t>US$ 2.000</t>
        </is>
      </c>
      <c r="D62" s="26" t="n"/>
      <c r="E62" s="27" t="n"/>
    </row>
    <row r="63" ht="26.5" customHeight="1">
      <c r="B63" s="28" t="inlineStr">
        <is>
          <t>Precio lanzamiento (−20%)</t>
        </is>
      </c>
      <c r="C63" s="33" t="inlineStr">
        <is>
          <t>US$ 1.600</t>
        </is>
      </c>
      <c r="D63" s="30" t="n"/>
      <c r="E63" s="31" t="n"/>
    </row>
    <row r="64" ht="20.5" customHeight="1">
      <c r="B64" s="28" t="inlineStr">
        <is>
          <t>Base de precio</t>
        </is>
      </c>
      <c r="C64" s="29" t="inlineStr">
        <is>
          <t>Por parcela familiar · hasta 4 espacios · mantenimiento US$ 24/año</t>
        </is>
      </c>
      <c r="D64" s="30" t="n"/>
      <c r="E64" s="31" t="n"/>
    </row>
    <row r="65" ht="35" customHeight="1">
      <c r="B65" s="24" t="inlineStr">
        <is>
          <t>Condiciones</t>
        </is>
      </c>
      <c r="C65" s="25" t="inlineStr">
        <is>
          <t>Pago único o financiado según política comercial vigente. Cuota de mantenimiento: US$ 24 anual.</t>
        </is>
      </c>
      <c r="D65" s="26" t="n"/>
      <c r="E65" s="27" t="n"/>
    </row>
    <row r="66" ht="20" customHeight="1">
      <c r="B66" s="21" t="inlineStr">
        <is>
          <t>PERFIL DEL COMPRADOR</t>
        </is>
      </c>
      <c r="C66" s="22" t="n"/>
      <c r="D66" s="22" t="n"/>
      <c r="E66" s="23" t="n"/>
    </row>
    <row r="67" ht="20.5" customHeight="1">
      <c r="B67" s="34" t="inlineStr">
        <is>
          <t>Cliente objetivo</t>
        </is>
      </c>
      <c r="C67" s="35" t="inlineStr">
        <is>
          <t>Familias que buscan un espacio propio para varias generaciones.</t>
        </is>
      </c>
      <c r="D67" s="36" t="n"/>
      <c r="E67" s="37" t="n"/>
    </row>
    <row r="70" ht="30" customHeight="1">
      <c r="B70" s="15" t="inlineStr">
        <is>
          <t>JARDÍN DE CENIZAS · ECOLÓGICO</t>
        </is>
      </c>
      <c r="C70" s="16" t="n"/>
      <c r="D70" s="16" t="n"/>
      <c r="E70" s="17" t="n"/>
    </row>
    <row r="71" ht="20" customHeight="1">
      <c r="B71" s="18" t="inlineStr">
        <is>
          <t>Jardines de la Memoria · Jardín 2  ·  Destino final · Inhumación ecológica</t>
        </is>
      </c>
      <c r="C71" s="19" t="n"/>
      <c r="D71" s="19" t="n"/>
      <c r="E71" s="20" t="n"/>
    </row>
    <row r="72" ht="20" customHeight="1">
      <c r="B72" s="21" t="inlineStr">
        <is>
          <t>VISIÓN GENERAL</t>
        </is>
      </c>
      <c r="C72" s="22" t="n"/>
      <c r="D72" s="22" t="n"/>
      <c r="E72" s="23" t="n"/>
    </row>
    <row r="73" ht="49.5" customHeight="1">
      <c r="B73" s="24" t="inlineStr">
        <is>
          <t>Concepto</t>
        </is>
      </c>
      <c r="C73" s="25" t="inlineStr">
        <is>
          <t>La urna biodegradable se entierra directamente en el suelo, se cubre con tierra y se descompone integrándose a la naturaleza. Jardín con agua corriente y área de esparcimiento de cenizas.</t>
        </is>
      </c>
      <c r="D73" s="26" t="n"/>
      <c r="E73" s="27" t="n"/>
    </row>
    <row r="74" ht="20.5" customHeight="1">
      <c r="B74" s="28" t="inlineStr">
        <is>
          <t>Capacidad / Cobertura</t>
        </is>
      </c>
      <c r="C74" s="29" t="inlineStr">
        <is>
          <t>Individual (1 urna).</t>
        </is>
      </c>
      <c r="D74" s="30" t="n"/>
      <c r="E74" s="31" t="n"/>
    </row>
    <row r="75" ht="20" customHeight="1">
      <c r="B75" s="21" t="inlineStr">
        <is>
          <t>ESPECIFICACIONES TÉCNICAS</t>
        </is>
      </c>
      <c r="C75" s="22" t="n"/>
      <c r="D75" s="22" t="n"/>
      <c r="E75" s="23" t="n"/>
    </row>
    <row r="76" ht="20.5" customHeight="1">
      <c r="B76" s="24" t="inlineStr">
        <is>
          <t>Ambientes</t>
        </is>
      </c>
      <c r="C76" s="25" t="inlineStr">
        <is>
          <t>Jardín 2 · Ecológico o Bosque de las Orquídeas</t>
        </is>
      </c>
      <c r="D76" s="26" t="n"/>
      <c r="E76" s="27" t="n"/>
    </row>
    <row r="77" ht="20.5" customHeight="1">
      <c r="B77" s="28" t="inlineStr">
        <is>
          <t>Espacio por urna</t>
        </is>
      </c>
      <c r="C77" s="29" t="inlineStr">
        <is>
          <t>30 × 30 cm, 40 cm de profundidad</t>
        </is>
      </c>
      <c r="D77" s="30" t="n"/>
      <c r="E77" s="31" t="n"/>
    </row>
    <row r="78" ht="20.5" customHeight="1">
      <c r="B78" s="24" t="inlineStr">
        <is>
          <t>Urna</t>
        </is>
      </c>
      <c r="C78" s="25" t="inlineStr">
        <is>
          <t>Biodegradable; se integra al suelo</t>
        </is>
      </c>
      <c r="D78" s="26" t="n"/>
      <c r="E78" s="27" t="n"/>
    </row>
    <row r="79" ht="35" customHeight="1">
      <c r="B79" s="28" t="inlineStr">
        <is>
          <t>Identificación (Jardín 2)</t>
        </is>
      </c>
      <c r="C79" s="29" t="inlineStr">
        <is>
          <t>Placa de madera de 20 cm fijada a una varilla metálica, en posición vertical y sin contacto con el suelo</t>
        </is>
      </c>
      <c r="D79" s="30" t="n"/>
      <c r="E79" s="31" t="n"/>
    </row>
    <row r="80" ht="20.5" customHeight="1">
      <c r="B80" s="24" t="inlineStr">
        <is>
          <t>Identificación (Bosque)</t>
        </is>
      </c>
      <c r="C80" s="25" t="inlineStr">
        <is>
          <t>Placa de mármol de 20 × 15 cm</t>
        </is>
      </c>
      <c r="D80" s="26" t="n"/>
      <c r="E80" s="27" t="n"/>
    </row>
    <row r="81" ht="35" customHeight="1">
      <c r="B81" s="28" t="inlineStr">
        <is>
          <t>Permanencia</t>
        </is>
      </c>
      <c r="C81" s="29" t="inlineStr">
        <is>
          <t>3 años; luego el nombre pasa a una placa memorial en el monumento y el espacio se reutiliza</t>
        </is>
      </c>
      <c r="D81" s="30" t="n"/>
      <c r="E81" s="31" t="n"/>
    </row>
    <row r="82" ht="20.5" customHeight="1">
      <c r="B82" s="24" t="inlineStr">
        <is>
          <t>Placa memorial</t>
        </is>
      </c>
      <c r="C82" s="25" t="inlineStr">
        <is>
          <t>Incluida en el precio</t>
        </is>
      </c>
      <c r="D82" s="26" t="n"/>
      <c r="E82" s="27" t="n"/>
    </row>
    <row r="83" ht="20.5" customHeight="1">
      <c r="B83" s="28" t="inlineStr">
        <is>
          <t>Acceso</t>
        </is>
      </c>
      <c r="C83" s="29" t="inlineStr">
        <is>
          <t>Camino de 1,2 m en gravilla con bordillo prefabricado</t>
        </is>
      </c>
      <c r="D83" s="30" t="n"/>
      <c r="E83" s="31" t="n"/>
    </row>
    <row r="84" ht="78.5" customHeight="1">
      <c r="B84" s="24" t="inlineStr">
        <is>
          <t>Servicios incluidos</t>
        </is>
      </c>
      <c r="C84" s="25" t="inlineStr">
        <is>
          <t>• Inhumación ecológica de la urna directamente en el suelo
• Placa de identificación
• Ubicación en el Jardín 2 o en el Bosque de las Orquídeas
• Entorno natural con agua corriente
• Permanencia de 3 años; luego, placa memorial en el monumento (incluida)</t>
        </is>
      </c>
      <c r="D84" s="26" t="n"/>
      <c r="E84" s="27" t="n"/>
    </row>
    <row r="85" ht="20" customHeight="1">
      <c r="B85" s="21" t="inlineStr">
        <is>
          <t>PRECIO &amp; CONDICIONES DE PAGO</t>
        </is>
      </c>
      <c r="C85" s="22" t="n"/>
      <c r="D85" s="22" t="n"/>
      <c r="E85" s="23" t="n"/>
    </row>
    <row r="86" ht="26.5" customHeight="1">
      <c r="B86" s="24" t="inlineStr">
        <is>
          <t>Precio sugerido</t>
        </is>
      </c>
      <c r="C86" s="32" t="inlineStr">
        <is>
          <t>US$ 750</t>
        </is>
      </c>
      <c r="D86" s="26" t="n"/>
      <c r="E86" s="27" t="n"/>
    </row>
    <row r="87" ht="26.5" customHeight="1">
      <c r="B87" s="28" t="inlineStr">
        <is>
          <t>Precio lanzamiento (−20%)</t>
        </is>
      </c>
      <c r="C87" s="33" t="inlineStr">
        <is>
          <t>US$ 600</t>
        </is>
      </c>
      <c r="D87" s="30" t="n"/>
      <c r="E87" s="31" t="n"/>
    </row>
    <row r="88" ht="20.5" customHeight="1">
      <c r="B88" s="28" t="inlineStr">
        <is>
          <t>Base de precio</t>
        </is>
      </c>
      <c r="C88" s="29" t="inlineStr">
        <is>
          <t>Por espacio individual · placa memorial incluida</t>
        </is>
      </c>
      <c r="D88" s="30" t="n"/>
      <c r="E88" s="31" t="n"/>
    </row>
    <row r="89" ht="35" customHeight="1">
      <c r="B89" s="24" t="inlineStr">
        <is>
          <t>Condiciones</t>
        </is>
      </c>
      <c r="C89" s="25" t="inlineStr">
        <is>
          <t>Pago único o financiado según política comercial vigente. Incluye la placa memorial en el monumento al término del plazo.</t>
        </is>
      </c>
      <c r="D89" s="26" t="n"/>
      <c r="E89" s="27" t="n"/>
    </row>
    <row r="90" ht="20" customHeight="1">
      <c r="B90" s="21" t="inlineStr">
        <is>
          <t>PERFIL DEL COMPRADOR</t>
        </is>
      </c>
      <c r="C90" s="22" t="n"/>
      <c r="D90" s="22" t="n"/>
      <c r="E90" s="23" t="n"/>
    </row>
    <row r="91" ht="35" customHeight="1">
      <c r="B91" s="34" t="inlineStr">
        <is>
          <t>Cliente objetivo</t>
        </is>
      </c>
      <c r="C91" s="35" t="inlineStr">
        <is>
          <t>Personas con conciencia ambiental que desean que sus cenizas vuelvan a la tierra, con un lugar identificado para visitar.</t>
        </is>
      </c>
      <c r="D91" s="36" t="n"/>
      <c r="E91" s="37" t="n"/>
    </row>
    <row r="94" ht="30" customHeight="1">
      <c r="B94" s="15" t="inlineStr">
        <is>
          <t>JARDÍN DE MASCOTAS</t>
        </is>
      </c>
      <c r="C94" s="16" t="n"/>
      <c r="D94" s="16" t="n"/>
      <c r="E94" s="17" t="n"/>
    </row>
    <row r="95" ht="20" customHeight="1">
      <c r="B95" s="18" t="inlineStr">
        <is>
          <t>Jardines de la Memoria · Mascotas  ·  Destino final · Inhumación ecológica</t>
        </is>
      </c>
      <c r="C95" s="19" t="n"/>
      <c r="D95" s="19" t="n"/>
      <c r="E95" s="20" t="n"/>
    </row>
    <row r="96" ht="20" customHeight="1">
      <c r="B96" s="21" t="inlineStr">
        <is>
          <t>VISIÓN GENERAL</t>
        </is>
      </c>
      <c r="C96" s="22" t="n"/>
      <c r="D96" s="22" t="n"/>
      <c r="E96" s="23" t="n"/>
    </row>
    <row r="97" ht="35" customHeight="1">
      <c r="B97" s="24" t="inlineStr">
        <is>
          <t>Concepto</t>
        </is>
      </c>
      <c r="C97" s="25" t="inlineStr">
        <is>
          <t>Jardín para inhumación ecológica de cenizas de mascotas: la urna biodegradable se entierra directamente en el suelo y se identifica con una placa de madera.</t>
        </is>
      </c>
      <c r="D97" s="26" t="n"/>
      <c r="E97" s="27" t="n"/>
    </row>
    <row r="98" ht="20.5" customHeight="1">
      <c r="B98" s="28" t="inlineStr">
        <is>
          <t>Capacidad / Cobertura</t>
        </is>
      </c>
      <c r="C98" s="29" t="inlineStr">
        <is>
          <t>Individual (una mascota por servicio).</t>
        </is>
      </c>
      <c r="D98" s="30" t="n"/>
      <c r="E98" s="31" t="n"/>
    </row>
    <row r="99" ht="20" customHeight="1">
      <c r="B99" s="21" t="inlineStr">
        <is>
          <t>ESPECIFICACIONES TÉCNICAS</t>
        </is>
      </c>
      <c r="C99" s="22" t="n"/>
      <c r="D99" s="22" t="n"/>
      <c r="E99" s="23" t="n"/>
    </row>
    <row r="100" ht="20.5" customHeight="1">
      <c r="B100" s="24" t="inlineStr">
        <is>
          <t>Tipo de producto</t>
        </is>
      </c>
      <c r="C100" s="25" t="inlineStr">
        <is>
          <t>Servicio de pago único</t>
        </is>
      </c>
      <c r="D100" s="26" t="n"/>
      <c r="E100" s="27" t="n"/>
    </row>
    <row r="101" ht="20.5" customHeight="1">
      <c r="B101" s="28" t="inlineStr">
        <is>
          <t>Espacio por urna</t>
        </is>
      </c>
      <c r="C101" s="29" t="inlineStr">
        <is>
          <t>15 × 20 cm o 15 × 30 cm, según el tamaño de la urna</t>
        </is>
      </c>
      <c r="D101" s="30" t="n"/>
      <c r="E101" s="31" t="n"/>
    </row>
    <row r="102" ht="35" customHeight="1">
      <c r="B102" s="24" t="inlineStr">
        <is>
          <t>Urna</t>
        </is>
      </c>
      <c r="C102" s="25" t="inlineStr">
        <is>
          <t>Biodegradable; se integra al suelo. Incluida solo en la opción con cremación (US$ 550); con solo espacio (US$ 400) se adquiere por separado</t>
        </is>
      </c>
      <c r="D102" s="26" t="n"/>
      <c r="E102" s="27" t="n"/>
    </row>
    <row r="103" ht="20.5" customHeight="1">
      <c r="B103" s="28" t="inlineStr">
        <is>
          <t>Identificación</t>
        </is>
      </c>
      <c r="C103" s="29" t="inlineStr">
        <is>
          <t>Placa de madera de 20 cm</t>
        </is>
      </c>
      <c r="D103" s="30" t="n"/>
      <c r="E103" s="31" t="n"/>
    </row>
    <row r="104" ht="20.5" customHeight="1">
      <c r="B104" s="24" t="inlineStr">
        <is>
          <t>Permanencia</t>
        </is>
      </c>
      <c r="C104" s="25" t="inlineStr">
        <is>
          <t>3 años; luego el espacio se reutiliza</t>
        </is>
      </c>
      <c r="D104" s="26" t="n"/>
      <c r="E104" s="27" t="n"/>
    </row>
    <row r="105" ht="20.5" customHeight="1">
      <c r="B105" s="28" t="inlineStr">
        <is>
          <t>Placa memorial</t>
        </is>
      </c>
      <c r="C105" s="29" t="inlineStr">
        <is>
          <t>Incluida en el precio; en el monumento al término del plazo</t>
        </is>
      </c>
      <c r="D105" s="30" t="n"/>
      <c r="E105" s="31" t="n"/>
    </row>
    <row r="106" ht="64" customHeight="1">
      <c r="B106" s="24" t="inlineStr">
        <is>
          <t>Servicios incluidos</t>
        </is>
      </c>
      <c r="C106" s="25" t="inlineStr">
        <is>
          <t>• Inhumación ecológica de la urna en el jardín
• Placa de madera de 20 cm para identificación
• Permanencia de 3 años; luego, placa memorial en el monumento (incluida)
• Cremación de la mascota y urna biodegradable (opción US$ 550)</t>
        </is>
      </c>
      <c r="D106" s="26" t="n"/>
      <c r="E106" s="27" t="n"/>
    </row>
    <row r="107" ht="20" customHeight="1">
      <c r="B107" s="21" t="inlineStr">
        <is>
          <t>PRECIO &amp; CONDICIONES DE PAGO</t>
        </is>
      </c>
      <c r="C107" s="22" t="n"/>
      <c r="D107" s="22" t="n"/>
      <c r="E107" s="23" t="n"/>
    </row>
    <row r="108" ht="26.5" customHeight="1">
      <c r="B108" s="24" t="inlineStr">
        <is>
          <t>Precio sugerido</t>
        </is>
      </c>
      <c r="C108" s="32" t="inlineStr">
        <is>
          <t>US$ 400 / US$ 550</t>
        </is>
      </c>
      <c r="D108" s="26" t="n"/>
      <c r="E108" s="27" t="n"/>
    </row>
    <row r="109" ht="26.5" customHeight="1">
      <c r="B109" s="28" t="inlineStr">
        <is>
          <t>Precio lanzamiento (−20%)</t>
        </is>
      </c>
      <c r="C109" s="33" t="inlineStr">
        <is>
          <t>US$ 320 / US$ 440</t>
        </is>
      </c>
      <c r="D109" s="30" t="n"/>
      <c r="E109" s="31" t="n"/>
    </row>
    <row r="110" ht="20.5" customHeight="1">
      <c r="B110" s="28" t="inlineStr">
        <is>
          <t>Base de precio</t>
        </is>
      </c>
      <c r="C110" s="29" t="inlineStr">
        <is>
          <t>US$ 400 solo espacio (urna aparte) · US$ 550 con cremación y urna</t>
        </is>
      </c>
      <c r="D110" s="30" t="n"/>
      <c r="E110" s="31" t="n"/>
    </row>
    <row r="111" ht="49.5" customHeight="1">
      <c r="B111" s="24" t="inlineStr">
        <is>
          <t>Condiciones</t>
        </is>
      </c>
      <c r="C111" s="25" t="inlineStr">
        <is>
          <t>Pago único; puede contratarse como adicional al plan funerario. La opción de US$ 550 incluye la cremación de la mascota y la urna biodegradable; en la opción de US$ 400 (solo espacio) la urna biodegradable se adquiere por separado.</t>
        </is>
      </c>
      <c r="D111" s="26" t="n"/>
      <c r="E111" s="27" t="n"/>
    </row>
    <row r="112" ht="20" customHeight="1">
      <c r="B112" s="21" t="inlineStr">
        <is>
          <t>PERFIL DEL COMPRADOR</t>
        </is>
      </c>
      <c r="C112" s="22" t="n"/>
      <c r="D112" s="22" t="n"/>
      <c r="E112" s="23" t="n"/>
    </row>
    <row r="113" ht="20.5" customHeight="1">
      <c r="B113" s="34" t="inlineStr">
        <is>
          <t>Cliente objetivo</t>
        </is>
      </c>
      <c r="C113" s="35" t="inlineStr">
        <is>
          <t>Familias que consideran a su mascota parte del hogar y desean un cierre digno.</t>
        </is>
      </c>
      <c r="D113" s="36" t="n"/>
      <c r="E113" s="37" t="n"/>
    </row>
    <row r="116" ht="30" customHeight="1">
      <c r="B116" s="15" t="inlineStr">
        <is>
          <t>JARDÍN DE CENIZAS · CEREMONIAL</t>
        </is>
      </c>
      <c r="C116" s="16" t="n"/>
      <c r="D116" s="16" t="n"/>
      <c r="E116" s="17" t="n"/>
    </row>
    <row r="117" ht="20" customHeight="1">
      <c r="B117" s="18" t="inlineStr">
        <is>
          <t>Jardines de la Memoria · Jardín 3  ·  Destino final · Inhumación con ceremonia</t>
        </is>
      </c>
      <c r="C117" s="19" t="n"/>
      <c r="D117" s="19" t="n"/>
      <c r="E117" s="20" t="n"/>
    </row>
    <row r="118" ht="24" customHeight="1">
      <c r="B118" s="38" t="inlineStr">
        <is>
          <t>★  PRÓXIMO LANZAMIENTO · se lanzará en otro momento</t>
        </is>
      </c>
      <c r="C118" s="39" t="n"/>
      <c r="D118" s="39" t="n"/>
      <c r="E118" s="40" t="n"/>
    </row>
    <row r="119" ht="20" customHeight="1">
      <c r="B119" s="21" t="inlineStr">
        <is>
          <t>VISIÓN GENERAL</t>
        </is>
      </c>
      <c r="C119" s="22" t="n"/>
      <c r="D119" s="22" t="n"/>
      <c r="E119" s="23" t="n"/>
    </row>
    <row r="120" ht="35" customHeight="1">
      <c r="B120" s="24" t="inlineStr">
        <is>
          <t>Concepto</t>
        </is>
      </c>
      <c r="C120" s="25" t="inlineStr">
        <is>
          <t>Jardín para inhumación de urnas de cenizas con ceremonia de agua, con fuentes como elemento central del rito de despedida.</t>
        </is>
      </c>
      <c r="D120" s="26" t="n"/>
      <c r="E120" s="27" t="n"/>
    </row>
    <row r="121" ht="20.5" customHeight="1">
      <c r="B121" s="28" t="inlineStr">
        <is>
          <t>Capacidad / Cobertura</t>
        </is>
      </c>
      <c r="C121" s="29" t="inlineStr">
        <is>
          <t>A definir.</t>
        </is>
      </c>
      <c r="D121" s="30" t="n"/>
      <c r="E121" s="31" t="n"/>
    </row>
    <row r="122" ht="20" customHeight="1">
      <c r="B122" s="21" t="inlineStr">
        <is>
          <t>ESPECIFICACIONES TÉCNICAS</t>
        </is>
      </c>
      <c r="C122" s="22" t="n"/>
      <c r="D122" s="22" t="n"/>
      <c r="E122" s="23" t="n"/>
    </row>
    <row r="123" ht="20.5" customHeight="1">
      <c r="B123" s="24" t="inlineStr">
        <is>
          <t>Ambiente</t>
        </is>
      </c>
      <c r="C123" s="25" t="inlineStr">
        <is>
          <t>Jardín 3</t>
        </is>
      </c>
      <c r="D123" s="26" t="n"/>
      <c r="E123" s="27" t="n"/>
    </row>
    <row r="124" ht="20.5" customHeight="1">
      <c r="B124" s="28" t="inlineStr">
        <is>
          <t>Elemento central</t>
        </is>
      </c>
      <c r="C124" s="29" t="inlineStr">
        <is>
          <t>Fuente de agua para la ceremonia</t>
        </is>
      </c>
      <c r="D124" s="30" t="n"/>
      <c r="E124" s="31" t="n"/>
    </row>
    <row r="125" ht="20.5" customHeight="1">
      <c r="B125" s="24" t="inlineStr">
        <is>
          <t>Entorno</t>
        </is>
      </c>
      <c r="C125" s="25" t="inlineStr">
        <is>
          <t>Barrera visual que separa el jardín del crematorio</t>
        </is>
      </c>
      <c r="D125" s="26" t="n"/>
      <c r="E125" s="27" t="n"/>
    </row>
    <row r="126" ht="35" customHeight="1">
      <c r="B126" s="28" t="inlineStr">
        <is>
          <t>Servicios incluidos</t>
        </is>
      </c>
      <c r="C126" s="29" t="inlineStr">
        <is>
          <t>• Inhumación de urnas de cenizas
• Ceremonia con agua en fuente</t>
        </is>
      </c>
      <c r="D126" s="30" t="n"/>
      <c r="E126" s="31" t="n"/>
    </row>
    <row r="127" ht="20" customHeight="1">
      <c r="B127" s="21" t="inlineStr">
        <is>
          <t>PRECIO &amp; CONDICIONES DE PAGO</t>
        </is>
      </c>
      <c r="C127" s="22" t="n"/>
      <c r="D127" s="22" t="n"/>
      <c r="E127" s="23" t="n"/>
    </row>
    <row r="128" ht="26.5" customHeight="1">
      <c r="B128" s="24" t="inlineStr">
        <is>
          <t>Precio sugerido</t>
        </is>
      </c>
      <c r="C128" s="32" t="inlineStr">
        <is>
          <t>A definir</t>
        </is>
      </c>
      <c r="D128" s="26" t="n"/>
      <c r="E128" s="27" t="n"/>
    </row>
    <row r="129" ht="26.5" customHeight="1">
      <c r="B129" s="28" t="inlineStr">
        <is>
          <t>Precio lanzamiento (−20%)</t>
        </is>
      </c>
      <c r="C129" s="33" t="inlineStr">
        <is>
          <t>A definir</t>
        </is>
      </c>
      <c r="D129" s="30" t="n"/>
      <c r="E129" s="31" t="n"/>
    </row>
    <row r="130" ht="20.5" customHeight="1">
      <c r="B130" s="28" t="inlineStr">
        <is>
          <t>Base de precio</t>
        </is>
      </c>
      <c r="C130" s="29" t="inlineStr">
        <is>
          <t>Producto en definición</t>
        </is>
      </c>
      <c r="D130" s="30" t="n"/>
      <c r="E130" s="31" t="n"/>
    </row>
    <row r="131" ht="20.5" customHeight="1">
      <c r="B131" s="24" t="inlineStr">
        <is>
          <t>Condiciones</t>
        </is>
      </c>
      <c r="C131" s="25" t="inlineStr">
        <is>
          <t>A definir.</t>
        </is>
      </c>
      <c r="D131" s="26" t="n"/>
      <c r="E131" s="27" t="n"/>
    </row>
    <row r="132" ht="20" customHeight="1">
      <c r="B132" s="21" t="inlineStr">
        <is>
          <t>PERFIL DEL COMPRADOR</t>
        </is>
      </c>
      <c r="C132" s="22" t="n"/>
      <c r="D132" s="22" t="n"/>
      <c r="E132" s="23" t="n"/>
    </row>
    <row r="133" ht="35" customHeight="1">
      <c r="B133" s="34" t="inlineStr">
        <is>
          <t>Cliente objetivo</t>
        </is>
      </c>
      <c r="C133" s="35" t="inlineStr">
        <is>
          <t>Familias que valoran un rito de despedida simbólico y un entorno contemplativo.</t>
        </is>
      </c>
      <c r="D133" s="36" t="n"/>
      <c r="E133" s="37" t="n"/>
    </row>
  </sheetData>
  <mergeCells count="122">
    <mergeCell ref="C31:E31"/>
    <mergeCell ref="C80:E80"/>
    <mergeCell ref="C40:E40"/>
    <mergeCell ref="C129:E129"/>
    <mergeCell ref="C51:E51"/>
    <mergeCell ref="C60:E60"/>
    <mergeCell ref="C123:E123"/>
    <mergeCell ref="C7:E7"/>
    <mergeCell ref="C91:E91"/>
    <mergeCell ref="C57:E57"/>
    <mergeCell ref="B21:E21"/>
    <mergeCell ref="C18:E18"/>
    <mergeCell ref="B39:E39"/>
    <mergeCell ref="C101:E101"/>
    <mergeCell ref="C77:E77"/>
    <mergeCell ref="C34:E34"/>
    <mergeCell ref="C42:E42"/>
    <mergeCell ref="B1:E1"/>
    <mergeCell ref="C74:E74"/>
    <mergeCell ref="C126:E126"/>
    <mergeCell ref="B112:E112"/>
    <mergeCell ref="C128:E128"/>
    <mergeCell ref="C20:E20"/>
    <mergeCell ref="C113:E113"/>
    <mergeCell ref="C103:E103"/>
    <mergeCell ref="B49:E49"/>
    <mergeCell ref="C84:E84"/>
    <mergeCell ref="C133:E133"/>
    <mergeCell ref="C22:E22"/>
    <mergeCell ref="C59:E59"/>
    <mergeCell ref="C130:E130"/>
    <mergeCell ref="C12:E12"/>
    <mergeCell ref="B26:E26"/>
    <mergeCell ref="B50:E50"/>
    <mergeCell ref="C52:E52"/>
    <mergeCell ref="B16:E16"/>
    <mergeCell ref="B25:E25"/>
    <mergeCell ref="B90:E90"/>
    <mergeCell ref="C106:E106"/>
    <mergeCell ref="C32:E32"/>
    <mergeCell ref="C38:E38"/>
    <mergeCell ref="B66:E66"/>
    <mergeCell ref="C81:E81"/>
    <mergeCell ref="C125:E125"/>
    <mergeCell ref="B27:E27"/>
    <mergeCell ref="C13:E13"/>
    <mergeCell ref="C131:E131"/>
    <mergeCell ref="C87:E87"/>
    <mergeCell ref="B117:E117"/>
    <mergeCell ref="C15:E15"/>
    <mergeCell ref="B61:E61"/>
    <mergeCell ref="C33:E33"/>
    <mergeCell ref="C89:E89"/>
    <mergeCell ref="C104:E104"/>
    <mergeCell ref="B132:E132"/>
    <mergeCell ref="B53:E53"/>
    <mergeCell ref="B119:E119"/>
    <mergeCell ref="C79:E79"/>
    <mergeCell ref="C73:E73"/>
    <mergeCell ref="C88:E88"/>
    <mergeCell ref="B116:E116"/>
    <mergeCell ref="C35:E35"/>
    <mergeCell ref="C63:E63"/>
    <mergeCell ref="C121:E121"/>
    <mergeCell ref="C10:E10"/>
    <mergeCell ref="B118:E118"/>
    <mergeCell ref="B127:E127"/>
    <mergeCell ref="C55:E55"/>
    <mergeCell ref="B6:E6"/>
    <mergeCell ref="B95:E95"/>
    <mergeCell ref="C36:E36"/>
    <mergeCell ref="C11:E11"/>
    <mergeCell ref="B72:E72"/>
    <mergeCell ref="C67:E67"/>
    <mergeCell ref="C109:E109"/>
    <mergeCell ref="B122:E122"/>
    <mergeCell ref="C28:E28"/>
    <mergeCell ref="B71:E71"/>
    <mergeCell ref="C37:E37"/>
    <mergeCell ref="C78:E78"/>
    <mergeCell ref="B2:E2"/>
    <mergeCell ref="B107:E107"/>
    <mergeCell ref="C62:E62"/>
    <mergeCell ref="C14:E14"/>
    <mergeCell ref="C98:E98"/>
    <mergeCell ref="B44:E44"/>
    <mergeCell ref="C64:E64"/>
    <mergeCell ref="B99:E99"/>
    <mergeCell ref="C54:E54"/>
    <mergeCell ref="B9:E9"/>
    <mergeCell ref="C41:E41"/>
    <mergeCell ref="C124:E124"/>
    <mergeCell ref="B30:E30"/>
    <mergeCell ref="C56:E56"/>
    <mergeCell ref="B5:E5"/>
    <mergeCell ref="C105:E105"/>
    <mergeCell ref="C43:E43"/>
    <mergeCell ref="B85:E85"/>
    <mergeCell ref="B94:E94"/>
    <mergeCell ref="C76:E76"/>
    <mergeCell ref="B4:E4"/>
    <mergeCell ref="C120:E120"/>
    <mergeCell ref="B75:E75"/>
    <mergeCell ref="C110:E110"/>
    <mergeCell ref="C8:E8"/>
    <mergeCell ref="C17:E17"/>
    <mergeCell ref="C82:E82"/>
    <mergeCell ref="C19:E19"/>
    <mergeCell ref="B96:E96"/>
    <mergeCell ref="C102:E102"/>
    <mergeCell ref="B70:E70"/>
    <mergeCell ref="C111:E111"/>
    <mergeCell ref="B48:E48"/>
    <mergeCell ref="C86:E86"/>
    <mergeCell ref="C83:E83"/>
    <mergeCell ref="C108:E108"/>
    <mergeCell ref="C58:E58"/>
    <mergeCell ref="C45:E45"/>
    <mergeCell ref="C97:E97"/>
    <mergeCell ref="C29:E29"/>
    <mergeCell ref="C100:E100"/>
    <mergeCell ref="C65:E65"/>
  </mergeCells>
  <pageMargins left="0.75" right="0.75" top="1" bottom="1" header="0.5" footer="0.5"/>
  <pageSetup orientation="portrait" fitToHeight="0" fitToWidth="1"/>
  <rowBreaks count="5" manualBreakCount="5">
    <brk id="23" min="0" max="16383" man="1"/>
    <brk id="46" min="0" max="16383" man="1"/>
    <brk id="68" min="0" max="16383" man="1"/>
    <brk id="92" min="0" max="16383" man="1"/>
    <brk id="114" min="0" max="16383" man="1"/>
  </rowBreaks>
</worksheet>
</file>

<file path=xl/worksheets/sheet3.xml><?xml version="1.0" encoding="utf-8"?>
<worksheet xmlns="http://schemas.openxmlformats.org/spreadsheetml/2006/main">
  <sheetPr>
    <tabColor rgb="00C5A059"/>
    <outlinePr summaryBelow="1" summaryRight="1"/>
    <pageSetUpPr fitToPage="1"/>
  </sheetPr>
  <dimension ref="B1:E10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0" customWidth="1" min="3" max="3"/>
    <col width="30" customWidth="1" min="4" max="4"/>
    <col width="30" customWidth="1" min="5" max="5"/>
    <col width="3" customWidth="1" min="6" max="6"/>
  </cols>
  <sheetData>
    <row r="1" ht="34" customHeight="1">
      <c r="B1" s="13" t="inlineStr">
        <is>
          <t>PORTAFOLIO EXISTENTE DE CREMACIÓN  ·  LA AUXILIADORA · VANGRUPO</t>
        </is>
      </c>
    </row>
    <row r="2">
      <c r="B2" s="14" t="inlineStr">
        <is>
          <t>Columbarios y cremación · descuento −15% en Finados y noviembre</t>
        </is>
      </c>
    </row>
    <row r="4" ht="30" customHeight="1">
      <c r="B4" s="15" t="inlineStr">
        <is>
          <t>COLUMBARIO SUPREMO PLUS</t>
        </is>
      </c>
      <c r="C4" s="16" t="n"/>
      <c r="D4" s="16" t="n"/>
      <c r="E4" s="17" t="n"/>
    </row>
    <row r="5" ht="20" customHeight="1">
      <c r="B5" s="18" t="inlineStr">
        <is>
          <t>El Hogar de las Memorias  ·  Servicio funerario + cremación + columbario</t>
        </is>
      </c>
      <c r="C5" s="19" t="n"/>
      <c r="D5" s="19" t="n"/>
      <c r="E5" s="20" t="n"/>
    </row>
    <row r="6" ht="20" customHeight="1">
      <c r="B6" s="21" t="inlineStr">
        <is>
          <t>VISIÓN GENERAL</t>
        </is>
      </c>
      <c r="C6" s="22" t="n"/>
      <c r="D6" s="22" t="n"/>
      <c r="E6" s="23" t="n"/>
    </row>
    <row r="7" ht="49.5" customHeight="1">
      <c r="B7" s="24" t="inlineStr">
        <is>
          <t>Concepto</t>
        </is>
      </c>
      <c r="C7" s="25" t="inlineStr">
        <is>
          <t>Experiencia integral que combina servicio funerario y cremación, con un espacio conmemorativo para resguardar hasta dos urnas cinerarias en un entorno de respeto, acompañamiento y serenidad.</t>
        </is>
      </c>
      <c r="D7" s="26" t="n"/>
      <c r="E7" s="27" t="n"/>
    </row>
    <row r="8" ht="20.5" customHeight="1">
      <c r="B8" s="28" t="inlineStr">
        <is>
          <t>Capacidad / Cobertura</t>
        </is>
      </c>
      <c r="C8" s="29" t="inlineStr">
        <is>
          <t>Hasta 2 urnas cinerarias (incluye 2 cremaciones).</t>
        </is>
      </c>
      <c r="D8" s="30" t="n"/>
      <c r="E8" s="31" t="n"/>
    </row>
    <row r="9" ht="20" customHeight="1">
      <c r="B9" s="21" t="inlineStr">
        <is>
          <t>ESPECIFICACIONES TÉCNICAS</t>
        </is>
      </c>
      <c r="C9" s="22" t="n"/>
      <c r="D9" s="22" t="n"/>
      <c r="E9" s="23" t="n"/>
    </row>
    <row r="10" ht="20.5" customHeight="1">
      <c r="B10" s="24" t="inlineStr">
        <is>
          <t>Material</t>
        </is>
      </c>
      <c r="C10" s="25" t="inlineStr">
        <is>
          <t>Cristal o mármol</t>
        </is>
      </c>
      <c r="D10" s="26" t="n"/>
      <c r="E10" s="27" t="n"/>
    </row>
    <row r="11" ht="20.5" customHeight="1">
      <c r="B11" s="28" t="inlineStr">
        <is>
          <t>Columbario</t>
        </is>
      </c>
      <c r="C11" s="29" t="inlineStr">
        <is>
          <t>Estándar, espacio permanente para hasta 2 urnas</t>
        </is>
      </c>
      <c r="D11" s="30" t="n"/>
      <c r="E11" s="31" t="n"/>
    </row>
    <row r="12" ht="20.5" customHeight="1">
      <c r="B12" s="24" t="inlineStr">
        <is>
          <t>Cremación</t>
        </is>
      </c>
      <c r="C12" s="25" t="inlineStr">
        <is>
          <t>2 cremaciones en crematorio propio, con certificado</t>
        </is>
      </c>
      <c r="D12" s="26" t="n"/>
      <c r="E12" s="27" t="n"/>
    </row>
    <row r="13" ht="20.5" customHeight="1">
      <c r="B13" s="28" t="inlineStr">
        <is>
          <t>Preparación y resguardo</t>
        </is>
      </c>
      <c r="C13" s="29" t="inlineStr">
        <is>
          <t>Preparación química y custodia en laboratorio hasta por 5 días</t>
        </is>
      </c>
      <c r="D13" s="30" t="n"/>
      <c r="E13" s="31" t="n"/>
    </row>
    <row r="14" ht="35" customHeight="1">
      <c r="B14" s="24" t="inlineStr">
        <is>
          <t>Velación</t>
        </is>
      </c>
      <c r="C14" s="25" t="inlineStr">
        <is>
          <t>Sala de velación 24 horas · La Auxiliadora: Capilla Maquilishuat o Básica · Capillas Memoriales: Capilla Las Camelias o Básica</t>
        </is>
      </c>
      <c r="D14" s="26" t="n"/>
      <c r="E14" s="27" t="n"/>
    </row>
    <row r="15" ht="35" customHeight="1">
      <c r="B15" s="28" t="inlineStr">
        <is>
          <t>Ubicación</t>
        </is>
      </c>
      <c r="C15" s="29" t="inlineStr">
        <is>
          <t>Definida: se elige el nicho al contratar · A futuro: el nicho se asigna más adelante. El precio varía según fila y nivel.</t>
        </is>
      </c>
      <c r="D15" s="30" t="n"/>
      <c r="E15" s="31" t="n"/>
    </row>
    <row r="16" ht="122" customHeight="1">
      <c r="B16" s="24" t="inlineStr">
        <is>
          <t>Servicios incluidos</t>
        </is>
      </c>
      <c r="C16" s="25" t="inlineStr">
        <is>
          <t>• Columbario estándar de cristal o mármol para hasta 2 urnas
• Traslados durante todo el proceso funerario
• Preparación química y resguardo hasta por 5 días
• 2 cremaciones y 2 urnas cinerarias básicas
• Certificado de cremación y ceremonias privadas de colocación
• Sala de velación 24 h, ataúd ceremonial y carroza tradicional
• Asesoría en trámites, libro de condolencias y 50 tarjetas de agradecimiento
• Programa Vive (acompañamiento en el duelo) y café y agua ilimitados</t>
        </is>
      </c>
      <c r="D16" s="26" t="n"/>
      <c r="E16" s="27" t="n"/>
    </row>
    <row r="17" ht="20" customHeight="1">
      <c r="B17" s="21" t="inlineStr">
        <is>
          <t>PRECIO &amp; CONDICIONES DE PAGO</t>
        </is>
      </c>
      <c r="C17" s="22" t="n"/>
      <c r="D17" s="22" t="n"/>
      <c r="E17" s="23" t="n"/>
    </row>
    <row r="18" ht="41" customHeight="1">
      <c r="B18" s="24" t="inlineStr">
        <is>
          <t>Precio</t>
        </is>
      </c>
      <c r="C18" s="32" t="inlineStr">
        <is>
          <t>Ubicación definida: US$ 3.400 – US$ 3.900
Ubicación a futuro: US$ 2.700 – US$ 3.200</t>
        </is>
      </c>
      <c r="D18" s="26" t="n"/>
      <c r="E18" s="27" t="n"/>
    </row>
    <row r="19" ht="41" customHeight="1">
      <c r="B19" s="28" t="inlineStr">
        <is>
          <t>Precio Finados y noviembre (−15%)</t>
        </is>
      </c>
      <c r="C19" s="33" t="inlineStr">
        <is>
          <t>Ubicación definida: US$ 2.890 – US$ 3.315
Ubicación a futuro: US$ 2.295 – US$ 2.720</t>
        </is>
      </c>
      <c r="D19" s="30" t="n"/>
      <c r="E19" s="31" t="n"/>
    </row>
    <row r="20" ht="20.5" customHeight="1">
      <c r="B20" s="28" t="inlineStr">
        <is>
          <t>Base de precio</t>
        </is>
      </c>
      <c r="C20" s="29" t="inlineStr">
        <is>
          <t>Precio según fila y nivel del columbario</t>
        </is>
      </c>
      <c r="D20" s="30" t="n"/>
      <c r="E20" s="31" t="n"/>
    </row>
    <row r="21" ht="20.5" customHeight="1">
      <c r="B21" s="24" t="inlineStr">
        <is>
          <t>Condiciones</t>
        </is>
      </c>
      <c r="C21" s="25" t="inlineStr">
        <is>
          <t>Pago único o financiado hasta 120 meses, con intereses.</t>
        </is>
      </c>
      <c r="D21" s="26" t="n"/>
      <c r="E21" s="27" t="n"/>
    </row>
    <row r="22" ht="20" customHeight="1">
      <c r="B22" s="21" t="inlineStr">
        <is>
          <t>PERFIL DEL COMPRADOR</t>
        </is>
      </c>
      <c r="C22" s="22" t="n"/>
      <c r="D22" s="22" t="n"/>
      <c r="E22" s="23" t="n"/>
    </row>
    <row r="23" ht="35" customHeight="1">
      <c r="B23" s="34" t="inlineStr">
        <is>
          <t>Cliente objetivo</t>
        </is>
      </c>
      <c r="C23" s="35" t="inlineStr">
        <is>
          <t>Familias que quieren resolver en una sola compra el servicio funerario, la cremación y un lugar permanente para dos seres queridos.</t>
        </is>
      </c>
      <c r="D23" s="36" t="n"/>
      <c r="E23" s="37" t="n"/>
    </row>
    <row r="26" ht="30" customHeight="1">
      <c r="B26" s="15" t="inlineStr">
        <is>
          <t>COLUMBARIO MÁRMOL O CRISTAL</t>
        </is>
      </c>
      <c r="C26" s="16" t="n"/>
      <c r="D26" s="16" t="n"/>
      <c r="E26" s="17" t="n"/>
    </row>
    <row r="27" ht="20" customHeight="1">
      <c r="B27" s="18" t="inlineStr">
        <is>
          <t>El Hogar de las Memorias  ·  Destino final · Columbario</t>
        </is>
      </c>
      <c r="C27" s="19" t="n"/>
      <c r="D27" s="19" t="n"/>
      <c r="E27" s="20" t="n"/>
    </row>
    <row r="28" ht="20" customHeight="1">
      <c r="B28" s="21" t="inlineStr">
        <is>
          <t>VISIÓN GENERAL</t>
        </is>
      </c>
      <c r="C28" s="22" t="n"/>
      <c r="D28" s="22" t="n"/>
      <c r="E28" s="23" t="n"/>
    </row>
    <row r="29" ht="35" customHeight="1">
      <c r="B29" s="24" t="inlineStr">
        <is>
          <t>Concepto</t>
        </is>
      </c>
      <c r="C29" s="25" t="inlineStr">
        <is>
          <t>Espacio permanente, elegante y sereno en mármol o cristal para preservar el legado de quienes más ama la familia, con un diseño atemporal.</t>
        </is>
      </c>
      <c r="D29" s="26" t="n"/>
      <c r="E29" s="27" t="n"/>
    </row>
    <row r="30" ht="20.5" customHeight="1">
      <c r="B30" s="28" t="inlineStr">
        <is>
          <t>Capacidad / Cobertura</t>
        </is>
      </c>
      <c r="C30" s="29" t="inlineStr">
        <is>
          <t>Estándar: hasta 2 urnas.</t>
        </is>
      </c>
      <c r="D30" s="30" t="n"/>
      <c r="E30" s="31" t="n"/>
    </row>
    <row r="31" ht="20" customHeight="1">
      <c r="B31" s="21" t="inlineStr">
        <is>
          <t>ESPECIFICACIONES TÉCNICAS</t>
        </is>
      </c>
      <c r="C31" s="22" t="n"/>
      <c r="D31" s="22" t="n"/>
      <c r="E31" s="23" t="n"/>
    </row>
    <row r="32" ht="20.5" customHeight="1">
      <c r="B32" s="24" t="inlineStr">
        <is>
          <t>Material</t>
        </is>
      </c>
      <c r="C32" s="25" t="inlineStr">
        <is>
          <t>Mármol o cristal</t>
        </is>
      </c>
      <c r="D32" s="26" t="n"/>
      <c r="E32" s="27" t="n"/>
    </row>
    <row r="33" ht="20.5" customHeight="1">
      <c r="B33" s="28" t="inlineStr">
        <is>
          <t>Permanencia</t>
        </is>
      </c>
      <c r="C33" s="29" t="inlineStr">
        <is>
          <t>Permanente</t>
        </is>
      </c>
      <c r="D33" s="30" t="n"/>
      <c r="E33" s="31" t="n"/>
    </row>
    <row r="34" ht="35" customHeight="1">
      <c r="B34" s="24" t="inlineStr">
        <is>
          <t>Ubicación</t>
        </is>
      </c>
      <c r="C34" s="25" t="inlineStr">
        <is>
          <t>Definida: se elige el nicho al contratar · A futuro: el nicho se asigna más adelante. El precio varía según fila y nivel.</t>
        </is>
      </c>
      <c r="D34" s="26" t="n"/>
      <c r="E34" s="27" t="n"/>
    </row>
    <row r="35" ht="35" customHeight="1">
      <c r="B35" s="28" t="inlineStr">
        <is>
          <t>Servicios incluidos</t>
        </is>
      </c>
      <c r="C35" s="29" t="inlineStr">
        <is>
          <t>• Espacio permanente en columbario de mármol o cristal
• Ubicación definida o a futuro, según la opción contratada</t>
        </is>
      </c>
      <c r="D35" s="30" t="n"/>
      <c r="E35" s="31" t="n"/>
    </row>
    <row r="36" ht="20" customHeight="1">
      <c r="B36" s="21" t="inlineStr">
        <is>
          <t>PRECIO &amp; CONDICIONES DE PAGO</t>
        </is>
      </c>
      <c r="C36" s="22" t="n"/>
      <c r="D36" s="22" t="n"/>
      <c r="E36" s="23" t="n"/>
    </row>
    <row r="37" ht="41" customHeight="1">
      <c r="B37" s="24" t="inlineStr">
        <is>
          <t>Precio</t>
        </is>
      </c>
      <c r="C37" s="32" t="inlineStr">
        <is>
          <t>Ubicación definida: US$ 2.600
Ubicación a futuro: US$ 1.200 – US$ 1.900</t>
        </is>
      </c>
      <c r="D37" s="26" t="n"/>
      <c r="E37" s="27" t="n"/>
    </row>
    <row r="38" ht="41" customHeight="1">
      <c r="B38" s="28" t="inlineStr">
        <is>
          <t>Precio Finados y noviembre (−15%)</t>
        </is>
      </c>
      <c r="C38" s="33" t="inlineStr">
        <is>
          <t>Ubicación definida: US$ 2.210
Ubicación a futuro: US$ 1.020 – US$ 1.615</t>
        </is>
      </c>
      <c r="D38" s="30" t="n"/>
      <c r="E38" s="31" t="n"/>
    </row>
    <row r="39" ht="20.5" customHeight="1">
      <c r="B39" s="28" t="inlineStr">
        <is>
          <t>Base de precio</t>
        </is>
      </c>
      <c r="C39" s="29" t="inlineStr">
        <is>
          <t>Solo columbario · precio según fila y nivel</t>
        </is>
      </c>
      <c r="D39" s="30" t="n"/>
      <c r="E39" s="31" t="n"/>
    </row>
    <row r="40" ht="20.5" customHeight="1">
      <c r="B40" s="24" t="inlineStr">
        <is>
          <t>Condiciones</t>
        </is>
      </c>
      <c r="C40" s="25" t="inlineStr">
        <is>
          <t>Pago único o financiado hasta 120 meses, con intereses.</t>
        </is>
      </c>
      <c r="D40" s="26" t="n"/>
      <c r="E40" s="27" t="n"/>
    </row>
    <row r="41" ht="20" customHeight="1">
      <c r="B41" s="21" t="inlineStr">
        <is>
          <t>PERFIL DEL COMPRADOR</t>
        </is>
      </c>
      <c r="C41" s="22" t="n"/>
      <c r="D41" s="22" t="n"/>
      <c r="E41" s="23" t="n"/>
    </row>
    <row r="42" ht="35" customHeight="1">
      <c r="B42" s="34" t="inlineStr">
        <is>
          <t>Cliente objetivo</t>
        </is>
      </c>
      <c r="C42" s="35" t="inlineStr">
        <is>
          <t>Familias que buscan un lugar permanente y elegante para las cenizas, con la cremación ya resuelta o contratada aparte.</t>
        </is>
      </c>
      <c r="D42" s="36" t="n"/>
      <c r="E42" s="37" t="n"/>
    </row>
    <row r="45" ht="30" customHeight="1">
      <c r="B45" s="15" t="inlineStr">
        <is>
          <t>COLUMBARIO ÓNIX</t>
        </is>
      </c>
      <c r="C45" s="16" t="n"/>
      <c r="D45" s="16" t="n"/>
      <c r="E45" s="17" t="n"/>
    </row>
    <row r="46" ht="20" customHeight="1">
      <c r="B46" s="18" t="inlineStr">
        <is>
          <t>El Hogar de las Memorias  ·  Destino final · Columbario premium</t>
        </is>
      </c>
      <c r="C46" s="19" t="n"/>
      <c r="D46" s="19" t="n"/>
      <c r="E46" s="20" t="n"/>
    </row>
    <row r="47" ht="20" customHeight="1">
      <c r="B47" s="21" t="inlineStr">
        <is>
          <t>VISIÓN GENERAL</t>
        </is>
      </c>
      <c r="C47" s="22" t="n"/>
      <c r="D47" s="22" t="n"/>
      <c r="E47" s="23" t="n"/>
    </row>
    <row r="48" ht="49.5" customHeight="1">
      <c r="B48" s="24" t="inlineStr">
        <is>
          <t>Concepto</t>
        </is>
      </c>
      <c r="C48" s="25" t="inlineStr">
        <is>
          <t>Columbario de ónix que combina la exclusividad de una piedra natural con un diseño elegante; sus tonalidades cálidas y apariencia luminosa crean un espacio de paz, respeto y recuerdo perdurable.</t>
        </is>
      </c>
      <c r="D48" s="26" t="n"/>
      <c r="E48" s="27" t="n"/>
    </row>
    <row r="49" ht="20.5" customHeight="1">
      <c r="B49" s="28" t="inlineStr">
        <is>
          <t>Capacidad / Cobertura</t>
        </is>
      </c>
      <c r="C49" s="29" t="inlineStr">
        <is>
          <t>Estándar: hasta 2 urnas · Familiar: hasta 4 urnas.</t>
        </is>
      </c>
      <c r="D49" s="30" t="n"/>
      <c r="E49" s="31" t="n"/>
    </row>
    <row r="50" ht="20" customHeight="1">
      <c r="B50" s="21" t="inlineStr">
        <is>
          <t>ESPECIFICACIONES TÉCNICAS</t>
        </is>
      </c>
      <c r="C50" s="22" t="n"/>
      <c r="D50" s="22" t="n"/>
      <c r="E50" s="23" t="n"/>
    </row>
    <row r="51" ht="20.5" customHeight="1">
      <c r="B51" s="24" t="inlineStr">
        <is>
          <t>Material</t>
        </is>
      </c>
      <c r="C51" s="25" t="inlineStr">
        <is>
          <t>Ónix natural</t>
        </is>
      </c>
      <c r="D51" s="26" t="n"/>
      <c r="E51" s="27" t="n"/>
    </row>
    <row r="52" ht="20.5" customHeight="1">
      <c r="B52" s="28" t="inlineStr">
        <is>
          <t>Modalidades</t>
        </is>
      </c>
      <c r="C52" s="29" t="inlineStr">
        <is>
          <t>Estándar (2 urnas) y Familiar (4 urnas)</t>
        </is>
      </c>
      <c r="D52" s="30" t="n"/>
      <c r="E52" s="31" t="n"/>
    </row>
    <row r="53" ht="20.5" customHeight="1">
      <c r="B53" s="24" t="inlineStr">
        <is>
          <t>Permanencia</t>
        </is>
      </c>
      <c r="C53" s="25" t="inlineStr">
        <is>
          <t>Permanente</t>
        </is>
      </c>
      <c r="D53" s="26" t="n"/>
      <c r="E53" s="27" t="n"/>
    </row>
    <row r="54" ht="35" customHeight="1">
      <c r="B54" s="28" t="inlineStr">
        <is>
          <t>Servicios incluidos</t>
        </is>
      </c>
      <c r="C54" s="29" t="inlineStr">
        <is>
          <t>• Espacio permanente en columbario de ónix natural
• Modalidad estándar o familiar</t>
        </is>
      </c>
      <c r="D54" s="30" t="n"/>
      <c r="E54" s="31" t="n"/>
    </row>
    <row r="55" ht="20" customHeight="1">
      <c r="B55" s="21" t="inlineStr">
        <is>
          <t>PRECIO &amp; CONDICIONES DE PAGO</t>
        </is>
      </c>
      <c r="C55" s="22" t="n"/>
      <c r="D55" s="22" t="n"/>
      <c r="E55" s="23" t="n"/>
    </row>
    <row r="56" ht="41" customHeight="1">
      <c r="B56" s="24" t="inlineStr">
        <is>
          <t>Precio</t>
        </is>
      </c>
      <c r="C56" s="32" t="inlineStr">
        <is>
          <t>Estándar · ubicación definida: US$ 3.100
Familiar · ubicación a futuro: US$ 5.000</t>
        </is>
      </c>
      <c r="D56" s="26" t="n"/>
      <c r="E56" s="27" t="n"/>
    </row>
    <row r="57" ht="41" customHeight="1">
      <c r="B57" s="28" t="inlineStr">
        <is>
          <t>Precio Finados y noviembre (−15%)</t>
        </is>
      </c>
      <c r="C57" s="33" t="inlineStr">
        <is>
          <t>Estándar · ubicación definida: US$ 2.635
Familiar · ubicación a futuro: US$ 4.250</t>
        </is>
      </c>
      <c r="D57" s="30" t="n"/>
      <c r="E57" s="31" t="n"/>
    </row>
    <row r="58" ht="20.5" customHeight="1">
      <c r="B58" s="28" t="inlineStr">
        <is>
          <t>Base de precio</t>
        </is>
      </c>
      <c r="C58" s="29" t="inlineStr">
        <is>
          <t>Solo columbario</t>
        </is>
      </c>
      <c r="D58" s="30" t="n"/>
      <c r="E58" s="31" t="n"/>
    </row>
    <row r="59" ht="20.5" customHeight="1">
      <c r="B59" s="24" t="inlineStr">
        <is>
          <t>Condiciones</t>
        </is>
      </c>
      <c r="C59" s="25" t="inlineStr">
        <is>
          <t>Pago único o financiado hasta 120 meses, con intereses.</t>
        </is>
      </c>
      <c r="D59" s="26" t="n"/>
      <c r="E59" s="27" t="n"/>
    </row>
    <row r="60" ht="20" customHeight="1">
      <c r="B60" s="21" t="inlineStr">
        <is>
          <t>PERFIL DEL COMPRADOR</t>
        </is>
      </c>
      <c r="C60" s="22" t="n"/>
      <c r="D60" s="22" t="n"/>
      <c r="E60" s="23" t="n"/>
    </row>
    <row r="61" ht="35" customHeight="1">
      <c r="B61" s="34" t="inlineStr">
        <is>
          <t>Cliente objetivo</t>
        </is>
      </c>
      <c r="C61" s="35" t="inlineStr">
        <is>
          <t>Familias que buscan exclusividad y una piedra natural de alta gama para el homenaje.</t>
        </is>
      </c>
      <c r="D61" s="36" t="n"/>
      <c r="E61" s="37" t="n"/>
    </row>
    <row r="64" ht="30" customHeight="1">
      <c r="B64" s="15" t="inlineStr">
        <is>
          <t>COLUMBARIO OBRA DE ARTE</t>
        </is>
      </c>
      <c r="C64" s="16" t="n"/>
      <c r="D64" s="16" t="n"/>
      <c r="E64" s="17" t="n"/>
    </row>
    <row r="65" ht="20" customHeight="1">
      <c r="B65" s="18" t="inlineStr">
        <is>
          <t>El Hogar de las Memorias  ·  Destino final · Columbario familiar exclusivo</t>
        </is>
      </c>
      <c r="C65" s="19" t="n"/>
      <c r="D65" s="19" t="n"/>
      <c r="E65" s="20" t="n"/>
    </row>
    <row r="66" ht="20" customHeight="1">
      <c r="B66" s="21" t="inlineStr">
        <is>
          <t>VISIÓN GENERAL</t>
        </is>
      </c>
      <c r="C66" s="22" t="n"/>
      <c r="D66" s="22" t="n"/>
      <c r="E66" s="23" t="n"/>
    </row>
    <row r="67" ht="49.5" customHeight="1">
      <c r="B67" s="24" t="inlineStr">
        <is>
          <t>Concepto</t>
        </is>
      </c>
      <c r="C67" s="25" t="inlineStr">
        <is>
          <t>Una expresión única de fe, memoria y belleza: tapa de ónix con obra de arte religiosa que preserva la memoria de toda una familia en un entorno de serenidad y contemplación.</t>
        </is>
      </c>
      <c r="D67" s="26" t="n"/>
      <c r="E67" s="27" t="n"/>
    </row>
    <row r="68" ht="20.5" customHeight="1">
      <c r="B68" s="28" t="inlineStr">
        <is>
          <t>Capacidad / Cobertura</t>
        </is>
      </c>
      <c r="C68" s="29" t="inlineStr">
        <is>
          <t>Familiar: hasta 4 urnas.</t>
        </is>
      </c>
      <c r="D68" s="30" t="n"/>
      <c r="E68" s="31" t="n"/>
    </row>
    <row r="69" ht="20" customHeight="1">
      <c r="B69" s="21" t="inlineStr">
        <is>
          <t>ESPECIFICACIONES TÉCNICAS</t>
        </is>
      </c>
      <c r="C69" s="22" t="n"/>
      <c r="D69" s="22" t="n"/>
      <c r="E69" s="23" t="n"/>
    </row>
    <row r="70" ht="20.5" customHeight="1">
      <c r="B70" s="24" t="inlineStr">
        <is>
          <t>Material</t>
        </is>
      </c>
      <c r="C70" s="25" t="inlineStr">
        <is>
          <t>Tapa de ónix con obra de arte religiosa</t>
        </is>
      </c>
      <c r="D70" s="26" t="n"/>
      <c r="E70" s="27" t="n"/>
    </row>
    <row r="71" ht="20.5" customHeight="1">
      <c r="B71" s="28" t="inlineStr">
        <is>
          <t>Modalidad</t>
        </is>
      </c>
      <c r="C71" s="29" t="inlineStr">
        <is>
          <t>Familiar (4 urnas)</t>
        </is>
      </c>
      <c r="D71" s="30" t="n"/>
      <c r="E71" s="31" t="n"/>
    </row>
    <row r="72" ht="20.5" customHeight="1">
      <c r="B72" s="24" t="inlineStr">
        <is>
          <t>Ubicación</t>
        </is>
      </c>
      <c r="C72" s="25" t="inlineStr">
        <is>
          <t>Definida</t>
        </is>
      </c>
      <c r="D72" s="26" t="n"/>
      <c r="E72" s="27" t="n"/>
    </row>
    <row r="73" ht="20.5" customHeight="1">
      <c r="B73" s="28" t="inlineStr">
        <is>
          <t>Permanencia</t>
        </is>
      </c>
      <c r="C73" s="29" t="inlineStr">
        <is>
          <t>Permanente</t>
        </is>
      </c>
      <c r="D73" s="30" t="n"/>
      <c r="E73" s="31" t="n"/>
    </row>
    <row r="74" ht="35" customHeight="1">
      <c r="B74" s="24" t="inlineStr">
        <is>
          <t>Servicios incluidos</t>
        </is>
      </c>
      <c r="C74" s="25" t="inlineStr">
        <is>
          <t>• Columbario familiar permanente para hasta 4 urnas
• Tapa exclusiva de ónix con obra de arte religiosa</t>
        </is>
      </c>
      <c r="D74" s="26" t="n"/>
      <c r="E74" s="27" t="n"/>
    </row>
    <row r="75" ht="20" customHeight="1">
      <c r="B75" s="21" t="inlineStr">
        <is>
          <t>PRECIO &amp; CONDICIONES DE PAGO</t>
        </is>
      </c>
      <c r="C75" s="22" t="n"/>
      <c r="D75" s="22" t="n"/>
      <c r="E75" s="23" t="n"/>
    </row>
    <row r="76" ht="26.5" customHeight="1">
      <c r="B76" s="24" t="inlineStr">
        <is>
          <t>Precio</t>
        </is>
      </c>
      <c r="C76" s="32" t="inlineStr">
        <is>
          <t>Familiar · ubicación definida: US$ 12.500</t>
        </is>
      </c>
      <c r="D76" s="26" t="n"/>
      <c r="E76" s="27" t="n"/>
    </row>
    <row r="77" ht="26.5" customHeight="1">
      <c r="B77" s="28" t="inlineStr">
        <is>
          <t>Precio Finados y noviembre (−15%)</t>
        </is>
      </c>
      <c r="C77" s="33" t="inlineStr">
        <is>
          <t>Familiar · ubicación definida: US$ 10.625</t>
        </is>
      </c>
      <c r="D77" s="30" t="n"/>
      <c r="E77" s="31" t="n"/>
    </row>
    <row r="78" ht="20.5" customHeight="1">
      <c r="B78" s="28" t="inlineStr">
        <is>
          <t>Base de precio</t>
        </is>
      </c>
      <c r="C78" s="29" t="inlineStr">
        <is>
          <t>Solo columbario</t>
        </is>
      </c>
      <c r="D78" s="30" t="n"/>
      <c r="E78" s="31" t="n"/>
    </row>
    <row r="79" ht="20.5" customHeight="1">
      <c r="B79" s="24" t="inlineStr">
        <is>
          <t>Condiciones</t>
        </is>
      </c>
      <c r="C79" s="25" t="inlineStr">
        <is>
          <t>Pago único o financiado hasta 120 meses, con intereses.</t>
        </is>
      </c>
      <c r="D79" s="26" t="n"/>
      <c r="E79" s="27" t="n"/>
    </row>
    <row r="80" ht="20" customHeight="1">
      <c r="B80" s="21" t="inlineStr">
        <is>
          <t>PERFIL DEL COMPRADOR</t>
        </is>
      </c>
      <c r="C80" s="22" t="n"/>
      <c r="D80" s="22" t="n"/>
      <c r="E80" s="23" t="n"/>
    </row>
    <row r="81" ht="20.5" customHeight="1">
      <c r="B81" s="34" t="inlineStr">
        <is>
          <t>Cliente objetivo</t>
        </is>
      </c>
      <c r="C81" s="35" t="inlineStr">
        <is>
          <t>Familias de fe que desean un legado único y de máxima exclusividad.</t>
        </is>
      </c>
      <c r="D81" s="36" t="n"/>
      <c r="E81" s="37" t="n"/>
    </row>
    <row r="84" ht="30" customHeight="1">
      <c r="B84" s="15" t="inlineStr">
        <is>
          <t>COLUMBARIO CRISTAL · BELLA VISTA</t>
        </is>
      </c>
      <c r="C84" s="16" t="n"/>
      <c r="D84" s="16" t="n"/>
      <c r="E84" s="17" t="n"/>
    </row>
    <row r="85" ht="20" customHeight="1">
      <c r="B85" s="18" t="inlineStr">
        <is>
          <t>Mausoleo vertical Bella Vista  ·  Cremación + columbario</t>
        </is>
      </c>
      <c r="C85" s="19" t="n"/>
      <c r="D85" s="19" t="n"/>
      <c r="E85" s="20" t="n"/>
    </row>
    <row r="86" ht="20" customHeight="1">
      <c r="B86" s="21" t="inlineStr">
        <is>
          <t>VISIÓN GENERAL</t>
        </is>
      </c>
      <c r="C86" s="22" t="n"/>
      <c r="D86" s="22" t="n"/>
      <c r="E86" s="23" t="n"/>
    </row>
    <row r="87" ht="49.5" customHeight="1">
      <c r="B87" s="24" t="inlineStr">
        <is>
          <t>Concepto</t>
        </is>
      </c>
      <c r="C87" s="25" t="inlineStr">
        <is>
          <t>Columbario de cristal en el mausoleo vertical Bella Vista que incluye el proceso completo de cremación: traslados, preparación, cremaciones, urnas y ceremonia de colocación.</t>
        </is>
      </c>
      <c r="D87" s="26" t="n"/>
      <c r="E87" s="27" t="n"/>
    </row>
    <row r="88" ht="20.5" customHeight="1">
      <c r="B88" s="28" t="inlineStr">
        <is>
          <t>Capacidad / Cobertura</t>
        </is>
      </c>
      <c r="C88" s="29" t="inlineStr">
        <is>
          <t>Estándar: 2 cremaciones y 2 urnas · Familiar: 4 cremaciones y 4 urnas.</t>
        </is>
      </c>
      <c r="D88" s="30" t="n"/>
      <c r="E88" s="31" t="n"/>
    </row>
    <row r="89" ht="20" customHeight="1">
      <c r="B89" s="21" t="inlineStr">
        <is>
          <t>ESPECIFICACIONES TÉCNICAS</t>
        </is>
      </c>
      <c r="C89" s="22" t="n"/>
      <c r="D89" s="22" t="n"/>
      <c r="E89" s="23" t="n"/>
    </row>
    <row r="90" ht="20.5" customHeight="1">
      <c r="B90" s="24" t="inlineStr">
        <is>
          <t>Ubicación</t>
        </is>
      </c>
      <c r="C90" s="25" t="inlineStr">
        <is>
          <t>Mausoleo vertical Bella Vista</t>
        </is>
      </c>
      <c r="D90" s="26" t="n"/>
      <c r="E90" s="27" t="n"/>
    </row>
    <row r="91" ht="20.5" customHeight="1">
      <c r="B91" s="28" t="inlineStr">
        <is>
          <t>Material</t>
        </is>
      </c>
      <c r="C91" s="29" t="inlineStr">
        <is>
          <t>Cristal</t>
        </is>
      </c>
      <c r="D91" s="30" t="n"/>
      <c r="E91" s="31" t="n"/>
    </row>
    <row r="92" ht="20.5" customHeight="1">
      <c r="B92" s="24" t="inlineStr">
        <is>
          <t>Medidas</t>
        </is>
      </c>
      <c r="C92" s="25" t="inlineStr">
        <is>
          <t>30 × 30 × 30 cm</t>
        </is>
      </c>
      <c r="D92" s="26" t="n"/>
      <c r="E92" s="27" t="n"/>
    </row>
    <row r="93" ht="20.5" customHeight="1">
      <c r="B93" s="28" t="inlineStr">
        <is>
          <t>Cremación</t>
        </is>
      </c>
      <c r="C93" s="29" t="inlineStr">
        <is>
          <t>2 (estándar) o 4 (familiar) cremaciones, con certificado</t>
        </is>
      </c>
      <c r="D93" s="30" t="n"/>
      <c r="E93" s="31" t="n"/>
    </row>
    <row r="94" ht="20.5" customHeight="1">
      <c r="B94" s="24" t="inlineStr">
        <is>
          <t>Preparación y resguardo</t>
        </is>
      </c>
      <c r="C94" s="25" t="inlineStr">
        <is>
          <t>Preparación química y custodia en laboratorio hasta por 5 días</t>
        </is>
      </c>
      <c r="D94" s="26" t="n"/>
      <c r="E94" s="27" t="n"/>
    </row>
    <row r="95" ht="78.5" customHeight="1">
      <c r="B95" s="28" t="inlineStr">
        <is>
          <t>Servicios incluidos</t>
        </is>
      </c>
      <c r="C95" s="29" t="inlineStr">
        <is>
          <t>• Columbario de cristal permanente (estándar o familiar)
• Traslados durante todo el proceso
• Preparación química y resguardo hasta por 5 días
• 2 o 4 cremaciones y 2 o 4 urnas cinerarias básicas
• Certificado de cremación y ceremonias privadas de colocación</t>
        </is>
      </c>
      <c r="D95" s="30" t="n"/>
      <c r="E95" s="31" t="n"/>
    </row>
    <row r="96" ht="20" customHeight="1">
      <c r="B96" s="21" t="inlineStr">
        <is>
          <t>PRECIO &amp; CONDICIONES DE PAGO</t>
        </is>
      </c>
      <c r="C96" s="22" t="n"/>
      <c r="D96" s="22" t="n"/>
      <c r="E96" s="23" t="n"/>
    </row>
    <row r="97" ht="70" customHeight="1">
      <c r="B97" s="24" t="inlineStr">
        <is>
          <t>Precio</t>
        </is>
      </c>
      <c r="C97" s="32" t="inlineStr">
        <is>
          <t>Estándar · ubicación definida: US$ 1.800
Estándar · ubicación a futuro: US$ 1.300
Familiar · ubicación definida: US$ 2.900
Familiar · ubicación a futuro: US$ 2.300</t>
        </is>
      </c>
      <c r="D97" s="26" t="n"/>
      <c r="E97" s="27" t="n"/>
    </row>
    <row r="98" ht="70" customHeight="1">
      <c r="B98" s="28" t="inlineStr">
        <is>
          <t>Precio Finados y noviembre (−15%)</t>
        </is>
      </c>
      <c r="C98" s="33" t="inlineStr">
        <is>
          <t>Estándar · ubicación definida: US$ 1.530
Estándar · ubicación a futuro: US$ 1.105
Familiar · ubicación definida: US$ 2.465
Familiar · ubicación a futuro: US$ 1.955</t>
        </is>
      </c>
      <c r="D98" s="30" t="n"/>
      <c r="E98" s="31" t="n"/>
    </row>
    <row r="99" ht="20.5" customHeight="1">
      <c r="B99" s="28" t="inlineStr">
        <is>
          <t>Base de precio</t>
        </is>
      </c>
      <c r="C99" s="29" t="inlineStr">
        <is>
          <t>Incluye cremación · precio según modalidad y ubicación</t>
        </is>
      </c>
      <c r="D99" s="30" t="n"/>
      <c r="E99" s="31" t="n"/>
    </row>
    <row r="100" ht="20.5" customHeight="1">
      <c r="B100" s="24" t="inlineStr">
        <is>
          <t>Condiciones</t>
        </is>
      </c>
      <c r="C100" s="25" t="inlineStr">
        <is>
          <t>Pago único o financiado hasta 120 meses, con intereses.</t>
        </is>
      </c>
      <c r="D100" s="26" t="n"/>
      <c r="E100" s="27" t="n"/>
    </row>
    <row r="101" ht="20" customHeight="1">
      <c r="B101" s="21" t="inlineStr">
        <is>
          <t>PERFIL DEL COMPRADOR</t>
        </is>
      </c>
      <c r="C101" s="22" t="n"/>
      <c r="D101" s="22" t="n"/>
      <c r="E101" s="23" t="n"/>
    </row>
    <row r="102" ht="35" customHeight="1">
      <c r="B102" s="34" t="inlineStr">
        <is>
          <t>Cliente objetivo</t>
        </is>
      </c>
      <c r="C102" s="35" t="inlineStr">
        <is>
          <t>Familias que buscan la opción más accesible de cremación con columbario permanente, para 2 o 4 personas.</t>
        </is>
      </c>
      <c r="D102" s="36" t="n"/>
      <c r="E102" s="37" t="n"/>
    </row>
  </sheetData>
  <mergeCells count="93">
    <mergeCell ref="B65:E65"/>
    <mergeCell ref="C40:E40"/>
    <mergeCell ref="C21:E21"/>
    <mergeCell ref="B36:E36"/>
    <mergeCell ref="C51:E51"/>
    <mergeCell ref="C95:E95"/>
    <mergeCell ref="B45:E45"/>
    <mergeCell ref="C71:E71"/>
    <mergeCell ref="C23:E23"/>
    <mergeCell ref="B47:E47"/>
    <mergeCell ref="C7:E7"/>
    <mergeCell ref="C91:E91"/>
    <mergeCell ref="B22:E22"/>
    <mergeCell ref="B31:E31"/>
    <mergeCell ref="C57:E57"/>
    <mergeCell ref="B86:E86"/>
    <mergeCell ref="C18:E18"/>
    <mergeCell ref="C49:E49"/>
    <mergeCell ref="C77:E77"/>
    <mergeCell ref="C34:E34"/>
    <mergeCell ref="B101:E101"/>
    <mergeCell ref="C42:E42"/>
    <mergeCell ref="B1:E1"/>
    <mergeCell ref="C74:E74"/>
    <mergeCell ref="B69:E69"/>
    <mergeCell ref="C20:E20"/>
    <mergeCell ref="C99:E99"/>
    <mergeCell ref="C94:E94"/>
    <mergeCell ref="B64:E64"/>
    <mergeCell ref="C59:E59"/>
    <mergeCell ref="C12:E12"/>
    <mergeCell ref="B26:E26"/>
    <mergeCell ref="B41:E41"/>
    <mergeCell ref="B50:E50"/>
    <mergeCell ref="C52:E52"/>
    <mergeCell ref="C61:E61"/>
    <mergeCell ref="C39:E39"/>
    <mergeCell ref="C70:E70"/>
    <mergeCell ref="C48:E48"/>
    <mergeCell ref="C32:E32"/>
    <mergeCell ref="C38:E38"/>
    <mergeCell ref="B66:E66"/>
    <mergeCell ref="C81:E81"/>
    <mergeCell ref="B27:E27"/>
    <mergeCell ref="C13:E13"/>
    <mergeCell ref="C87:E87"/>
    <mergeCell ref="C15:E15"/>
    <mergeCell ref="C33:E33"/>
    <mergeCell ref="C79:E79"/>
    <mergeCell ref="C73:E73"/>
    <mergeCell ref="C88:E88"/>
    <mergeCell ref="C35:E35"/>
    <mergeCell ref="B84:E84"/>
    <mergeCell ref="C16:E16"/>
    <mergeCell ref="C10:E10"/>
    <mergeCell ref="B6:E6"/>
    <mergeCell ref="B55:E55"/>
    <mergeCell ref="B80:E80"/>
    <mergeCell ref="B89:E89"/>
    <mergeCell ref="C11:E11"/>
    <mergeCell ref="C67:E67"/>
    <mergeCell ref="C72:E72"/>
    <mergeCell ref="C37:E37"/>
    <mergeCell ref="C78:E78"/>
    <mergeCell ref="B2:E2"/>
    <mergeCell ref="C92:E92"/>
    <mergeCell ref="C30:E30"/>
    <mergeCell ref="B60:E60"/>
    <mergeCell ref="B17:E17"/>
    <mergeCell ref="C14:E14"/>
    <mergeCell ref="C98:E98"/>
    <mergeCell ref="B28:E28"/>
    <mergeCell ref="C54:E54"/>
    <mergeCell ref="B9:E9"/>
    <mergeCell ref="C93:E93"/>
    <mergeCell ref="C56:E56"/>
    <mergeCell ref="B5:E5"/>
    <mergeCell ref="C90:E90"/>
    <mergeCell ref="B85:E85"/>
    <mergeCell ref="C76:E76"/>
    <mergeCell ref="B4:E4"/>
    <mergeCell ref="B75:E75"/>
    <mergeCell ref="C8:E8"/>
    <mergeCell ref="B46:E46"/>
    <mergeCell ref="C19:E19"/>
    <mergeCell ref="C53:E53"/>
    <mergeCell ref="B96:E96"/>
    <mergeCell ref="C102:E102"/>
    <mergeCell ref="C68:E68"/>
    <mergeCell ref="C58:E58"/>
    <mergeCell ref="C97:E97"/>
    <mergeCell ref="C29:E29"/>
    <mergeCell ref="C100:E100"/>
  </mergeCells>
  <pageMargins left="0.75" right="0.75" top="1" bottom="1" header="0.5" footer="0.5"/>
  <pageSetup orientation="portrait" fitToHeight="0" fitToWidth="1"/>
  <rowBreaks count="4" manualBreakCount="4">
    <brk id="24" min="0" max="16383" man="1"/>
    <brk id="43" min="0" max="16383" man="1"/>
    <brk id="62" min="0" max="16383" man="1"/>
    <brk id="82" min="0" max="16383" man="1"/>
  </rowBreaks>
</worksheet>
</file>

<file path=xl/worksheets/sheet4.xml><?xml version="1.0" encoding="utf-8"?>
<worksheet xmlns="http://schemas.openxmlformats.org/spreadsheetml/2006/main">
  <sheetPr>
    <tabColor rgb="000F2537"/>
    <outlinePr summaryBelow="1" summaryRight="1"/>
    <pageSetUpPr fitToPage="1"/>
  </sheetPr>
  <dimension ref="A1:D2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6" customWidth="1" min="4" max="4"/>
  </cols>
  <sheetData>
    <row r="1" ht="34" customHeight="1">
      <c r="A1" s="1" t="inlineStr">
        <is>
          <t>LA AUXILIADORA · VANGRUPO  |  POLÍTICA DE COMISIONES DE LOS PRODUCTOS DE CREMACIÓN</t>
        </is>
      </c>
    </row>
    <row r="2" ht="22" customHeight="1">
      <c r="A2" s="41" t="inlineStr">
        <is>
          <t>Vigente en 2026 · comisión según la cantidad de ventas del mes (8% · 10% · 12%)</t>
        </is>
      </c>
    </row>
    <row r="4" ht="20" customHeight="1">
      <c r="A4" s="42" t="inlineStr">
        <is>
          <t>1. ESCALA POR CANTIDAD DE VENTAS EN EL MES (cualquier producto de cremación)</t>
        </is>
      </c>
    </row>
    <row r="5" ht="32" customHeight="1">
      <c r="A5" s="43" t="inlineStr">
        <is>
          <t>Ventas en el mes</t>
        </is>
      </c>
      <c r="B5" s="43" t="inlineStr">
        <is>
          <t>% comisión</t>
        </is>
      </c>
      <c r="C5" s="43" t="inlineStr">
        <is>
          <t>Ejemplo: facturación con Solución Modular (sin IVA)</t>
        </is>
      </c>
      <c r="D5" s="43" t="inlineStr">
        <is>
          <t>Comisión del ejemplo</t>
        </is>
      </c>
    </row>
    <row r="6" ht="24" customHeight="1">
      <c r="A6" s="44" t="inlineStr">
        <is>
          <t>1 venta</t>
        </is>
      </c>
      <c r="B6" s="45" t="n">
        <v>0.08</v>
      </c>
      <c r="C6" s="46">
        <f>1*1000*100/113</f>
        <v/>
      </c>
      <c r="D6" s="47">
        <f>B6*C6</f>
        <v/>
      </c>
    </row>
    <row r="7" ht="24" customHeight="1">
      <c r="A7" s="48" t="inlineStr">
        <is>
          <t>2 ventas</t>
        </is>
      </c>
      <c r="B7" s="49" t="n">
        <v>0.1</v>
      </c>
      <c r="C7" s="50">
        <f>2*1000*100/113</f>
        <v/>
      </c>
      <c r="D7" s="51">
        <f>B7*C7</f>
        <v/>
      </c>
    </row>
    <row r="8" ht="24" customHeight="1">
      <c r="A8" s="44" t="inlineStr">
        <is>
          <t>3 ventas o más</t>
        </is>
      </c>
      <c r="B8" s="45" t="n">
        <v>0.12</v>
      </c>
      <c r="C8" s="46">
        <f>3*1000*100/113</f>
        <v/>
      </c>
      <c r="D8" s="47">
        <f>B8*C8</f>
        <v/>
      </c>
    </row>
    <row r="10" ht="20" customHeight="1">
      <c r="A10" s="42" t="inlineStr">
        <is>
          <t>2. CUÁNDO SE PAGA Y CUÁNDO SE DESCUENTA</t>
        </is>
      </c>
    </row>
    <row r="11" ht="32" customHeight="1">
      <c r="A11" s="43" t="inlineStr">
        <is>
          <t>Producto</t>
        </is>
      </c>
      <c r="B11" s="43" t="inlineStr">
        <is>
          <t>Momento de pago</t>
        </is>
      </c>
      <c r="C11" s="43" t="inlineStr">
        <is>
          <t>Estorno</t>
        </is>
      </c>
      <c r="D11" s="43" t="inlineStr">
        <is>
          <t>Observaciones</t>
        </is>
      </c>
    </row>
    <row r="12" ht="36" customHeight="1">
      <c r="A12" s="44" t="inlineStr">
        <is>
          <t>Solución Modular de Cremación</t>
        </is>
      </c>
      <c r="B12" s="52" t="inlineStr">
        <is>
          <t>Pago único cuando el cliente paga la 3ª cuota</t>
        </is>
      </c>
      <c r="C12" s="52" t="inlineStr">
        <is>
          <t>Si el cliente cancela antes de la 12ª cuota</t>
        </is>
      </c>
      <c r="D12" s="52" t="inlineStr"/>
    </row>
    <row r="13" ht="36" customHeight="1">
      <c r="A13" s="48" t="inlineStr">
        <is>
          <t>Jardines de Cenizas (Individual, Familiar, Ecológico)</t>
        </is>
      </c>
      <c r="B13" s="53" t="inlineStr">
        <is>
          <t>Contado: mes siguiente al pago. Financiado: proporcional a lo cobrado</t>
        </is>
      </c>
      <c r="C13" s="53" t="inlineStr">
        <is>
          <t>Cancelación en los primeros 90 días</t>
        </is>
      </c>
      <c r="D13" s="53" t="inlineStr"/>
    </row>
    <row r="14" ht="36" customHeight="1">
      <c r="A14" s="44" t="inlineStr">
        <is>
          <t>Jardín de Mascotas</t>
        </is>
      </c>
      <c r="B14" s="52" t="inlineStr">
        <is>
          <t>Mes siguiente al pago (pago único)</t>
        </is>
      </c>
      <c r="C14" s="52" t="inlineStr">
        <is>
          <t>Cancelación en los primeros 90 días</t>
        </is>
      </c>
      <c r="D14" s="52" t="inlineStr"/>
    </row>
    <row r="15" ht="36" customHeight="1">
      <c r="A15" s="48" t="inlineStr">
        <is>
          <t>Columbarios (portafolio existente)</t>
        </is>
      </c>
      <c r="B15" s="53" t="inlineStr">
        <is>
          <t>Contado: mes siguiente al pago. Financiado: proporcional a lo cobrado</t>
        </is>
      </c>
      <c r="C15" s="53" t="inlineStr">
        <is>
          <t>Cancelación en los primeros 90 días</t>
        </is>
      </c>
      <c r="D15" s="53" t="inlineStr">
        <is>
          <t>Mismo criterio de cantidad de ventas que los productos nuevos.</t>
        </is>
      </c>
    </row>
    <row r="17" ht="20" customHeight="1">
      <c r="A17" s="42" t="inlineStr">
        <is>
          <t>3. REGLAS GENERALES</t>
        </is>
      </c>
    </row>
    <row r="18" ht="22" customHeight="1">
      <c r="A18" s="54" t="inlineStr">
        <is>
          <t>1. 1 venta en el mes de cualquier producto de cremación = 8%; 2 ventas = 10%; 3 o más = 12%, sobre toda la facturación del mes.</t>
        </is>
      </c>
    </row>
    <row r="19" ht="22" customHeight="1">
      <c r="A19" s="54" t="inlineStr">
        <is>
          <t>2. Cada contrato vendido cuenta como 1 venta, sin distinción por grupo de producto (nuevos y columbarios).</t>
        </is>
      </c>
    </row>
    <row r="20" ht="22" customHeight="1">
      <c r="A20" s="54" t="inlineStr">
        <is>
          <t>3. Base de cálculo: facturación sin IVA (13%), neta de descuentos. La comisión se paga sobre lo cobrado.</t>
        </is>
      </c>
    </row>
    <row r="21" ht="22" customHeight="1">
      <c r="A21" s="54" t="inlineStr">
        <is>
          <t>4. Mismo criterio para call center, contratados y freelancers. No hay bonos adicionales.</t>
        </is>
      </c>
    </row>
    <row r="22" ht="22" customHeight="1">
      <c r="A22" s="54" t="inlineStr">
        <is>
          <t>5. Venta compartida (call center agenda, otro vendedor cierra): 1 venta para ambos; comisión 30% / 70%.</t>
        </is>
      </c>
    </row>
    <row r="23" ht="22" customHeight="1">
      <c r="A23" s="54" t="inlineStr">
        <is>
          <t>6. No generan comisión ni cuentan como venta: cuotas de mantenimiento anual (US$ 15 / US$ 24).</t>
        </is>
      </c>
    </row>
    <row r="24" ht="22" customHeight="1">
      <c r="A24" s="54" t="inlineStr">
        <is>
          <t>7. Estorno: la comisión se descuenta de los pagos siguientes al vendedor. Ventas anuladas no cuentan.</t>
        </is>
      </c>
    </row>
  </sheetData>
  <mergeCells count="12">
    <mergeCell ref="A1:D1"/>
    <mergeCell ref="A17:D17"/>
    <mergeCell ref="A18:D18"/>
    <mergeCell ref="A23:D23"/>
    <mergeCell ref="A22:D22"/>
    <mergeCell ref="A4:D4"/>
    <mergeCell ref="A20:D20"/>
    <mergeCell ref="A21:D21"/>
    <mergeCell ref="A24:D24"/>
    <mergeCell ref="A2:D2"/>
    <mergeCell ref="A19:D19"/>
    <mergeCell ref="A10:D10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 Auxiliadora · Vangrupo</dc:creator>
  <dc:title xmlns:dc="http://purl.org/dc/elements/1.1/">Ficha Técnica Cremación — La Auxiliadora · Vangrupo</dc:title>
  <dcterms:created xmlns:dcterms="http://purl.org/dc/terms/" xmlns:xsi="http://www.w3.org/2001/XMLSchema-instance" xsi:type="dcterms:W3CDTF">2026-10-23T12:55:54Z</dcterms:created>
  <dcterms:modified xmlns:dcterms="http://purl.org/dc/terms/" xmlns:xsi="http://www.w3.org/2001/XMLSchema-instance" xsi:type="dcterms:W3CDTF">2026-10-23T12:55:54Z</dcterms:modified>
</cp:coreProperties>
</file>